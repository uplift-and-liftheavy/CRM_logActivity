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mc:AlternateContent xmlns:mc="http://schemas.openxmlformats.org/markup-compatibility/2006">
    <mc:Choice Requires="x15">
      <x15ac:absPath xmlns:x15ac="http://schemas.microsoft.com/office/spreadsheetml/2010/11/ac" url="C:\Users\u0505182\Documents\Wago Tools\Log Activity to SAP\"/>
    </mc:Choice>
  </mc:AlternateContent>
  <xr:revisionPtr revIDLastSave="0" documentId="13_ncr:1_{BDFB52EA-4112-439D-A471-1A2ED29BE1CF}" xr6:coauthVersionLast="47" xr6:coauthVersionMax="47" xr10:uidLastSave="{00000000-0000-0000-0000-000000000000}"/>
  <bookViews>
    <workbookView xWindow="-96" yWindow="0" windowWidth="20832" windowHeight="16656" xr2:uid="{00000000-000D-0000-FFFF-FFFF00000000}"/>
  </bookViews>
  <sheets>
    <sheet name="WORKSHEET - Call Report" sheetId="3" r:id="rId1"/>
    <sheet name="Sheet4" sheetId="9" r:id="rId2"/>
    <sheet name="Database - Contacts" sheetId="8" r:id="rId3"/>
    <sheet name="Database - Contacts old" sheetId="2" r:id="rId4"/>
    <sheet name="Sheet1" sheetId="6" r:id="rId5"/>
    <sheet name="Sheet2" sheetId="7" r:id="rId6"/>
    <sheet name="HISTORY - Activity Report" sheetId="1" r:id="rId7"/>
    <sheet name="password" sheetId="5" r:id="rId8"/>
  </sheets>
  <definedNames>
    <definedName name="_xlnm._FilterDatabase" localSheetId="2" hidden="1">'Database - Contacts'!$A$1:$M$1096</definedName>
    <definedName name="_xlnm._FilterDatabase" localSheetId="3" hidden="1">'Database - Contacts old'!$A$1:$M$1191</definedName>
    <definedName name="_xlnm._FilterDatabase" localSheetId="6" hidden="1">'HISTORY - Activity Report'!$A$1:$G$5</definedName>
    <definedName name="_xlnm._FilterDatabase" localSheetId="0" hidden="1">'WORKSHEET - Call Report'!$A$1:$G$192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12" i="3" l="1"/>
  <c r="I111" i="3"/>
  <c r="I110" i="3"/>
  <c r="I109" i="3"/>
  <c r="I108" i="3"/>
  <c r="I107" i="3"/>
  <c r="I106" i="3"/>
  <c r="I105" i="3"/>
  <c r="I104" i="3"/>
  <c r="I103" i="3"/>
  <c r="I102" i="3"/>
  <c r="I101" i="3"/>
  <c r="I100" i="3"/>
  <c r="I99" i="3"/>
  <c r="I98" i="3"/>
  <c r="I97" i="3"/>
  <c r="I96" i="3"/>
  <c r="I95" i="3"/>
  <c r="I94" i="3"/>
  <c r="I93" i="3"/>
  <c r="I92" i="3"/>
  <c r="I91" i="3"/>
  <c r="I90" i="3"/>
  <c r="I89" i="3"/>
  <c r="I88" i="3"/>
  <c r="I87" i="3"/>
  <c r="I86" i="3"/>
  <c r="I85" i="3"/>
  <c r="I84" i="3"/>
  <c r="I83" i="3"/>
  <c r="I82" i="3"/>
  <c r="I81" i="3"/>
  <c r="I80" i="3"/>
  <c r="I79" i="3"/>
  <c r="I78" i="3"/>
  <c r="I77" i="3"/>
  <c r="I76" i="3"/>
  <c r="I75" i="3"/>
  <c r="I74" i="3"/>
  <c r="I73" i="3"/>
  <c r="I72" i="3"/>
  <c r="I71" i="3"/>
  <c r="I70" i="3"/>
  <c r="I69" i="3"/>
  <c r="I68" i="3"/>
  <c r="I67" i="3"/>
  <c r="I66" i="3"/>
  <c r="I65" i="3"/>
  <c r="I64" i="3"/>
  <c r="I63" i="3"/>
  <c r="I62" i="3"/>
  <c r="I61" i="3"/>
  <c r="I60" i="3"/>
  <c r="I59" i="3"/>
  <c r="I58" i="3"/>
  <c r="I57" i="3"/>
  <c r="I56" i="3"/>
  <c r="I55" i="3"/>
  <c r="I54" i="3"/>
  <c r="I53" i="3"/>
  <c r="I52" i="3"/>
  <c r="I51" i="3"/>
  <c r="I50" i="3"/>
  <c r="I49" i="3"/>
  <c r="I48" i="3"/>
  <c r="I47" i="3"/>
  <c r="I46" i="3"/>
  <c r="I45" i="3"/>
  <c r="I44" i="3"/>
  <c r="I43" i="3"/>
  <c r="I42" i="3"/>
  <c r="I41" i="3"/>
  <c r="I40" i="3"/>
  <c r="I39" i="3"/>
  <c r="I38" i="3"/>
  <c r="I37" i="3"/>
  <c r="I36" i="3"/>
  <c r="I35" i="3"/>
  <c r="I34" i="3"/>
  <c r="I33" i="3"/>
  <c r="I32" i="3"/>
  <c r="I31" i="3"/>
  <c r="I30" i="3"/>
  <c r="I29" i="3"/>
  <c r="I28" i="3"/>
  <c r="I27" i="3"/>
  <c r="I26" i="3"/>
  <c r="I25" i="3"/>
  <c r="I24" i="3"/>
  <c r="I23" i="3"/>
  <c r="I22" i="3"/>
  <c r="I21" i="3"/>
  <c r="I20" i="3"/>
  <c r="I19" i="3"/>
  <c r="I18" i="3"/>
  <c r="I17" i="3"/>
  <c r="I16" i="3"/>
  <c r="I15" i="3"/>
  <c r="I14" i="3"/>
  <c r="I13" i="3"/>
  <c r="I12" i="3"/>
  <c r="I11" i="3"/>
  <c r="I10" i="3"/>
  <c r="I9" i="3"/>
  <c r="I8" i="3"/>
  <c r="I7" i="3"/>
  <c r="I6" i="3"/>
  <c r="I5" i="3"/>
  <c r="I4" i="3"/>
  <c r="I3" i="3"/>
  <c r="I2" i="3"/>
  <c r="A15" i="9" l="1"/>
  <c r="B15" i="9"/>
  <c r="D15" i="9"/>
  <c r="A16" i="9"/>
  <c r="B16" i="9"/>
  <c r="D16" i="9"/>
  <c r="A17" i="9"/>
  <c r="B17" i="9"/>
  <c r="D17" i="9"/>
  <c r="A18" i="9"/>
  <c r="B18" i="9"/>
  <c r="D18" i="9"/>
  <c r="A19" i="9"/>
  <c r="B19" i="9"/>
  <c r="D19" i="9"/>
  <c r="A20" i="9"/>
  <c r="B20" i="9"/>
  <c r="D20" i="9"/>
  <c r="A21" i="9"/>
  <c r="B21" i="9"/>
  <c r="D21" i="9"/>
  <c r="A22" i="9"/>
  <c r="B22" i="9"/>
  <c r="D22" i="9"/>
  <c r="D14" i="9"/>
  <c r="B14" i="9"/>
  <c r="A14" i="9"/>
  <c r="D13" i="9"/>
  <c r="B13" i="9"/>
  <c r="A13" i="9"/>
  <c r="D12" i="9"/>
  <c r="B12" i="9"/>
  <c r="A12" i="9"/>
  <c r="D11" i="9"/>
  <c r="B11" i="9"/>
  <c r="A11" i="9"/>
  <c r="D10" i="9"/>
  <c r="B10" i="9"/>
  <c r="A10" i="9"/>
  <c r="D9" i="9"/>
  <c r="B9" i="9"/>
  <c r="A9" i="9"/>
  <c r="D8" i="9"/>
  <c r="B8" i="9"/>
  <c r="A8" i="9"/>
  <c r="D7" i="9"/>
  <c r="B7" i="9"/>
  <c r="A7" i="9"/>
  <c r="D6" i="9"/>
  <c r="B6" i="9"/>
  <c r="A6" i="9"/>
  <c r="D5" i="9"/>
  <c r="B5" i="9"/>
  <c r="A5" i="9"/>
  <c r="D4" i="9"/>
  <c r="B4" i="9"/>
  <c r="A4" i="9"/>
  <c r="D3" i="9"/>
  <c r="B3" i="9"/>
  <c r="A3" i="9"/>
  <c r="D2" i="9"/>
  <c r="B2" i="9"/>
  <c r="A2" i="9"/>
  <c r="D1" i="9"/>
  <c r="B1" i="9"/>
  <c r="A1" i="9"/>
  <c r="D192" i="3"/>
  <c r="D191" i="3"/>
  <c r="D190" i="3"/>
  <c r="D189" i="3"/>
  <c r="D188" i="3"/>
  <c r="D187" i="3"/>
  <c r="D186" i="3"/>
  <c r="D185" i="3"/>
  <c r="D184" i="3"/>
  <c r="D183" i="3"/>
  <c r="D182" i="3"/>
  <c r="D181" i="3"/>
  <c r="D180" i="3"/>
  <c r="D179" i="3"/>
  <c r="D178" i="3"/>
  <c r="D177" i="3"/>
  <c r="D176" i="3"/>
  <c r="D175" i="3"/>
  <c r="D174" i="3"/>
  <c r="D173" i="3"/>
  <c r="D172" i="3"/>
  <c r="D171" i="3"/>
  <c r="D170" i="3"/>
  <c r="D169" i="3"/>
  <c r="D168" i="3"/>
  <c r="D167" i="3"/>
  <c r="D166" i="3"/>
  <c r="D165" i="3"/>
  <c r="D164" i="3"/>
  <c r="D163" i="3"/>
  <c r="D162" i="3"/>
  <c r="D161" i="3"/>
  <c r="D160" i="3"/>
  <c r="D159" i="3"/>
  <c r="D158" i="3"/>
  <c r="D157" i="3"/>
  <c r="D156" i="3"/>
  <c r="D155" i="3"/>
  <c r="D154" i="3"/>
  <c r="D153" i="3"/>
  <c r="D152" i="3"/>
  <c r="D151" i="3"/>
  <c r="D150" i="3"/>
  <c r="D149" i="3"/>
  <c r="D148" i="3"/>
  <c r="D147" i="3"/>
  <c r="D146" i="3"/>
  <c r="D145" i="3"/>
  <c r="D144" i="3"/>
  <c r="D143" i="3"/>
  <c r="D142" i="3"/>
  <c r="D141" i="3"/>
  <c r="D140" i="3"/>
  <c r="D139" i="3"/>
  <c r="D138" i="3"/>
  <c r="D137" i="3"/>
  <c r="D136" i="3"/>
  <c r="D135" i="3"/>
  <c r="D134" i="3"/>
  <c r="D133" i="3"/>
  <c r="D132" i="3"/>
  <c r="D131" i="3"/>
  <c r="D130" i="3"/>
  <c r="D129" i="3"/>
  <c r="D128" i="3"/>
  <c r="D127" i="3"/>
  <c r="D126" i="3"/>
  <c r="D125" i="3"/>
  <c r="D124" i="3"/>
  <c r="D123" i="3"/>
  <c r="D122" i="3"/>
  <c r="D121" i="3"/>
  <c r="D120" i="3"/>
  <c r="D119" i="3"/>
  <c r="D118" i="3"/>
  <c r="D117" i="3"/>
  <c r="D116" i="3"/>
  <c r="D115" i="3"/>
  <c r="D114" i="3"/>
  <c r="D113" i="3"/>
  <c r="D112" i="3"/>
  <c r="D111" i="3"/>
  <c r="D110" i="3"/>
  <c r="D109" i="3"/>
  <c r="D108" i="3"/>
  <c r="D107" i="3"/>
  <c r="D106" i="3"/>
  <c r="D105" i="3"/>
  <c r="D104" i="3"/>
  <c r="D103" i="3"/>
  <c r="D102" i="3"/>
  <c r="D101" i="3"/>
  <c r="D100" i="3"/>
  <c r="D99" i="3"/>
  <c r="D98" i="3"/>
  <c r="D97" i="3"/>
  <c r="D96" i="3"/>
  <c r="D95" i="3"/>
  <c r="D94" i="3"/>
  <c r="D93" i="3"/>
  <c r="D92" i="3"/>
  <c r="D91" i="3"/>
  <c r="D90" i="3"/>
  <c r="D89" i="3"/>
  <c r="D88" i="3"/>
  <c r="D87" i="3"/>
  <c r="D86" i="3"/>
  <c r="D85" i="3"/>
  <c r="D84" i="3"/>
  <c r="D83" i="3"/>
  <c r="D82" i="3"/>
  <c r="D81" i="3"/>
  <c r="D80" i="3"/>
  <c r="D79" i="3"/>
  <c r="D78" i="3"/>
  <c r="D77" i="3"/>
  <c r="D76" i="3"/>
  <c r="D75" i="3"/>
  <c r="D74" i="3"/>
  <c r="D73" i="3"/>
  <c r="D72" i="3"/>
  <c r="D71" i="3"/>
  <c r="D70" i="3"/>
  <c r="D69" i="3"/>
  <c r="D68" i="3"/>
  <c r="D67" i="3"/>
  <c r="D66" i="3"/>
  <c r="D65" i="3"/>
  <c r="D64" i="3"/>
  <c r="D63" i="3"/>
  <c r="D62" i="3"/>
  <c r="D61" i="3"/>
  <c r="D60" i="3"/>
  <c r="D59" i="3"/>
  <c r="D58" i="3"/>
  <c r="D57" i="3"/>
  <c r="D56" i="3"/>
  <c r="D55" i="3"/>
  <c r="D54" i="3"/>
  <c r="D53" i="3"/>
  <c r="D52" i="3"/>
  <c r="D51" i="3"/>
  <c r="D50" i="3"/>
  <c r="D49" i="3"/>
  <c r="D48" i="3"/>
  <c r="D47" i="3"/>
  <c r="D46" i="3"/>
  <c r="D45" i="3"/>
  <c r="D44" i="3"/>
  <c r="D43" i="3"/>
  <c r="D42" i="3"/>
  <c r="D41" i="3"/>
  <c r="D40" i="3"/>
  <c r="D39" i="3"/>
  <c r="D38" i="3"/>
  <c r="D37" i="3"/>
  <c r="D36" i="3"/>
  <c r="D35" i="3"/>
  <c r="D34" i="3"/>
  <c r="D33" i="3"/>
  <c r="D32" i="3"/>
  <c r="D31" i="3"/>
  <c r="D30" i="3"/>
  <c r="D29" i="3"/>
  <c r="D28" i="3"/>
  <c r="D27" i="3"/>
  <c r="D26" i="3"/>
  <c r="D25" i="3"/>
  <c r="D24" i="3"/>
  <c r="D23" i="3"/>
  <c r="D22" i="3"/>
  <c r="D21" i="3"/>
  <c r="D20" i="3"/>
  <c r="D19" i="3"/>
  <c r="D18" i="3"/>
  <c r="D17" i="3"/>
  <c r="D16" i="3"/>
  <c r="D15" i="3"/>
  <c r="D14" i="3"/>
  <c r="D13" i="3"/>
  <c r="D12" i="3"/>
  <c r="D11" i="3"/>
  <c r="D10" i="3"/>
  <c r="D9" i="3"/>
  <c r="D8" i="3"/>
  <c r="D7" i="3"/>
  <c r="D6" i="3"/>
  <c r="D5" i="3"/>
  <c r="D4" i="3"/>
  <c r="D3" i="3"/>
  <c r="B192" i="3"/>
  <c r="A192" i="3"/>
  <c r="B191" i="3"/>
  <c r="A191" i="3"/>
  <c r="B190" i="3"/>
  <c r="A190" i="3"/>
  <c r="B189" i="3"/>
  <c r="A189" i="3"/>
  <c r="B188" i="3"/>
  <c r="A188" i="3"/>
  <c r="B187" i="3"/>
  <c r="A187" i="3"/>
  <c r="B186" i="3"/>
  <c r="A186" i="3"/>
  <c r="B185" i="3"/>
  <c r="A185" i="3"/>
  <c r="B184" i="3"/>
  <c r="A184" i="3"/>
  <c r="B183" i="3"/>
  <c r="A183" i="3"/>
  <c r="B182" i="3"/>
  <c r="A182" i="3"/>
  <c r="B181" i="3"/>
  <c r="A181" i="3"/>
  <c r="B180" i="3"/>
  <c r="A180" i="3"/>
  <c r="B179" i="3"/>
  <c r="A179" i="3"/>
  <c r="B178" i="3"/>
  <c r="A178" i="3"/>
  <c r="B177" i="3"/>
  <c r="A177" i="3"/>
  <c r="B176" i="3"/>
  <c r="A176" i="3"/>
  <c r="B175" i="3"/>
  <c r="A175" i="3"/>
  <c r="B174" i="3"/>
  <c r="A174" i="3"/>
  <c r="B173" i="3"/>
  <c r="A173" i="3"/>
  <c r="B172" i="3"/>
  <c r="A172" i="3"/>
  <c r="B171" i="3"/>
  <c r="A171" i="3"/>
  <c r="B170" i="3"/>
  <c r="A170" i="3"/>
  <c r="B169" i="3"/>
  <c r="A169" i="3"/>
  <c r="B168" i="3"/>
  <c r="A168" i="3"/>
  <c r="B167" i="3"/>
  <c r="A167" i="3"/>
  <c r="B166" i="3"/>
  <c r="A166" i="3"/>
  <c r="B165" i="3"/>
  <c r="A165" i="3"/>
  <c r="B164" i="3"/>
  <c r="A164" i="3"/>
  <c r="B163" i="3"/>
  <c r="A163" i="3"/>
  <c r="B162" i="3"/>
  <c r="A162" i="3"/>
  <c r="B161" i="3"/>
  <c r="A161" i="3"/>
  <c r="B160" i="3"/>
  <c r="A160" i="3"/>
  <c r="B159" i="3"/>
  <c r="A159" i="3"/>
  <c r="B158" i="3"/>
  <c r="A158" i="3"/>
  <c r="B157" i="3"/>
  <c r="A157" i="3"/>
  <c r="B156" i="3"/>
  <c r="A156" i="3"/>
  <c r="B155" i="3"/>
  <c r="A155" i="3"/>
  <c r="B154" i="3"/>
  <c r="A154" i="3"/>
  <c r="B153" i="3"/>
  <c r="A153" i="3"/>
  <c r="B152" i="3"/>
  <c r="A152" i="3"/>
  <c r="B151" i="3"/>
  <c r="A151" i="3"/>
  <c r="B150" i="3"/>
  <c r="A150" i="3"/>
  <c r="B149" i="3"/>
  <c r="A149" i="3"/>
  <c r="B148" i="3"/>
  <c r="A148" i="3"/>
  <c r="B147" i="3"/>
  <c r="A147" i="3"/>
  <c r="B146" i="3"/>
  <c r="A146" i="3"/>
  <c r="B145" i="3"/>
  <c r="A145" i="3"/>
  <c r="B144" i="3"/>
  <c r="A144" i="3"/>
  <c r="B143" i="3"/>
  <c r="A143" i="3"/>
  <c r="B142" i="3"/>
  <c r="A142" i="3"/>
  <c r="B141" i="3"/>
  <c r="A141" i="3"/>
  <c r="B140" i="3"/>
  <c r="A140" i="3"/>
  <c r="B139" i="3"/>
  <c r="A139" i="3"/>
  <c r="B138" i="3"/>
  <c r="A138" i="3"/>
  <c r="B137" i="3"/>
  <c r="A137" i="3"/>
  <c r="B136" i="3"/>
  <c r="A136" i="3"/>
  <c r="B135" i="3"/>
  <c r="A135" i="3"/>
  <c r="B134" i="3"/>
  <c r="A134" i="3"/>
  <c r="B133" i="3"/>
  <c r="A133" i="3"/>
  <c r="B132" i="3"/>
  <c r="A132" i="3"/>
  <c r="B131" i="3"/>
  <c r="A131" i="3"/>
  <c r="B130" i="3"/>
  <c r="A130" i="3"/>
  <c r="B129" i="3"/>
  <c r="A129" i="3"/>
  <c r="B128" i="3"/>
  <c r="A128" i="3"/>
  <c r="B127" i="3"/>
  <c r="A127" i="3"/>
  <c r="B126" i="3"/>
  <c r="A126" i="3"/>
  <c r="B125" i="3"/>
  <c r="A125" i="3"/>
  <c r="B124" i="3"/>
  <c r="A124" i="3"/>
  <c r="B123" i="3"/>
  <c r="A123" i="3"/>
  <c r="B122" i="3"/>
  <c r="A122" i="3"/>
  <c r="B121" i="3"/>
  <c r="A121" i="3"/>
  <c r="B120" i="3"/>
  <c r="A120" i="3"/>
  <c r="B119" i="3"/>
  <c r="A119" i="3"/>
  <c r="B118" i="3"/>
  <c r="A118" i="3"/>
  <c r="B117" i="3"/>
  <c r="A117" i="3"/>
  <c r="B116" i="3"/>
  <c r="A116" i="3"/>
  <c r="B115" i="3"/>
  <c r="A115" i="3"/>
  <c r="B114" i="3"/>
  <c r="A114" i="3"/>
  <c r="B113" i="3"/>
  <c r="A113" i="3"/>
  <c r="B112" i="3"/>
  <c r="A112" i="3"/>
  <c r="B111" i="3"/>
  <c r="A111" i="3"/>
  <c r="B110" i="3"/>
  <c r="A110" i="3"/>
  <c r="B109" i="3"/>
  <c r="A109" i="3"/>
  <c r="B108" i="3"/>
  <c r="A108" i="3"/>
  <c r="B107" i="3"/>
  <c r="A107" i="3"/>
  <c r="B106" i="3"/>
  <c r="A106" i="3"/>
  <c r="B105" i="3"/>
  <c r="A105" i="3"/>
  <c r="B104" i="3"/>
  <c r="A104" i="3"/>
  <c r="B103" i="3"/>
  <c r="A103" i="3"/>
  <c r="B102" i="3"/>
  <c r="A102" i="3"/>
  <c r="B101" i="3"/>
  <c r="A101" i="3"/>
  <c r="B100" i="3"/>
  <c r="A100" i="3"/>
  <c r="B99" i="3"/>
  <c r="A99" i="3"/>
  <c r="B98" i="3"/>
  <c r="A98" i="3"/>
  <c r="B97" i="3"/>
  <c r="A97" i="3"/>
  <c r="B96" i="3"/>
  <c r="A96" i="3"/>
  <c r="B95" i="3"/>
  <c r="A95" i="3"/>
  <c r="B94" i="3"/>
  <c r="A94" i="3"/>
  <c r="B93" i="3"/>
  <c r="A93" i="3"/>
  <c r="B92" i="3"/>
  <c r="A92" i="3"/>
  <c r="B91" i="3"/>
  <c r="A91" i="3"/>
  <c r="B90" i="3"/>
  <c r="A90" i="3"/>
  <c r="B89" i="3"/>
  <c r="A89" i="3"/>
  <c r="B88" i="3"/>
  <c r="A88" i="3"/>
  <c r="B87" i="3"/>
  <c r="A87" i="3"/>
  <c r="B86" i="3"/>
  <c r="A86" i="3"/>
  <c r="B85" i="3"/>
  <c r="A85" i="3"/>
  <c r="B84" i="3"/>
  <c r="A84" i="3"/>
  <c r="B83" i="3"/>
  <c r="A83" i="3"/>
  <c r="B82" i="3"/>
  <c r="A82" i="3"/>
  <c r="B81" i="3"/>
  <c r="A81" i="3"/>
  <c r="B80" i="3"/>
  <c r="A80" i="3"/>
  <c r="B79" i="3"/>
  <c r="A79" i="3"/>
  <c r="B78" i="3"/>
  <c r="A78" i="3"/>
  <c r="B77" i="3"/>
  <c r="A77" i="3"/>
  <c r="B76" i="3"/>
  <c r="A76" i="3"/>
  <c r="B75" i="3"/>
  <c r="A75" i="3"/>
  <c r="B74" i="3"/>
  <c r="A74" i="3"/>
  <c r="B73" i="3"/>
  <c r="A73" i="3"/>
  <c r="B72" i="3"/>
  <c r="A72" i="3"/>
  <c r="B71" i="3"/>
  <c r="A71" i="3"/>
  <c r="B70" i="3"/>
  <c r="A70" i="3"/>
  <c r="B69" i="3"/>
  <c r="A69" i="3"/>
  <c r="B68" i="3"/>
  <c r="A68" i="3"/>
  <c r="B67" i="3"/>
  <c r="A67" i="3"/>
  <c r="B66" i="3"/>
  <c r="A66" i="3"/>
  <c r="B65" i="3"/>
  <c r="A65" i="3"/>
  <c r="B64" i="3"/>
  <c r="A64" i="3"/>
  <c r="B63" i="3"/>
  <c r="A63" i="3"/>
  <c r="B62" i="3"/>
  <c r="A62" i="3"/>
  <c r="B61" i="3"/>
  <c r="A61" i="3"/>
  <c r="B60" i="3"/>
  <c r="A60" i="3"/>
  <c r="B59" i="3"/>
  <c r="A59" i="3"/>
  <c r="B58" i="3"/>
  <c r="A58" i="3"/>
  <c r="B57" i="3"/>
  <c r="A57" i="3"/>
  <c r="B56" i="3"/>
  <c r="A56" i="3"/>
  <c r="B55" i="3"/>
  <c r="A55" i="3"/>
  <c r="B54" i="3"/>
  <c r="A54" i="3"/>
  <c r="B53" i="3"/>
  <c r="A53" i="3"/>
  <c r="B52" i="3"/>
  <c r="A52" i="3"/>
  <c r="B51" i="3"/>
  <c r="A51" i="3"/>
  <c r="B50" i="3"/>
  <c r="A50" i="3"/>
  <c r="B49" i="3"/>
  <c r="A49" i="3"/>
  <c r="B48" i="3"/>
  <c r="A48" i="3"/>
  <c r="B47" i="3"/>
  <c r="A47" i="3"/>
  <c r="B46" i="3"/>
  <c r="A46" i="3"/>
  <c r="B45" i="3"/>
  <c r="A45" i="3"/>
  <c r="B44" i="3"/>
  <c r="A44" i="3"/>
  <c r="B43" i="3"/>
  <c r="A43" i="3"/>
  <c r="B42" i="3"/>
  <c r="A42" i="3"/>
  <c r="B41" i="3"/>
  <c r="A41" i="3"/>
  <c r="B40" i="3"/>
  <c r="A40" i="3"/>
  <c r="B39" i="3"/>
  <c r="A39" i="3"/>
  <c r="B38" i="3"/>
  <c r="A38" i="3"/>
  <c r="B37" i="3"/>
  <c r="A37" i="3"/>
  <c r="B36" i="3"/>
  <c r="A36" i="3"/>
  <c r="B35" i="3"/>
  <c r="A35" i="3"/>
  <c r="B34" i="3"/>
  <c r="A34" i="3"/>
  <c r="B33" i="3"/>
  <c r="A33" i="3"/>
  <c r="B32" i="3"/>
  <c r="A32" i="3"/>
  <c r="B31" i="3"/>
  <c r="A31" i="3"/>
  <c r="B30" i="3"/>
  <c r="A30" i="3"/>
  <c r="B29" i="3"/>
  <c r="A29" i="3"/>
  <c r="B28" i="3"/>
  <c r="A28" i="3"/>
  <c r="B27" i="3"/>
  <c r="A27" i="3"/>
  <c r="B26" i="3"/>
  <c r="A26" i="3"/>
  <c r="B25" i="3"/>
  <c r="A25" i="3"/>
  <c r="B24" i="3"/>
  <c r="A24" i="3"/>
  <c r="B23" i="3"/>
  <c r="A23" i="3"/>
  <c r="B22" i="3"/>
  <c r="A22" i="3"/>
  <c r="B21" i="3"/>
  <c r="A21" i="3"/>
  <c r="B20" i="3"/>
  <c r="A20" i="3"/>
  <c r="B19" i="3"/>
  <c r="A19" i="3"/>
  <c r="B18" i="3"/>
  <c r="A18" i="3"/>
  <c r="B17" i="3"/>
  <c r="A17" i="3"/>
  <c r="B16" i="3"/>
  <c r="A16" i="3"/>
  <c r="B15" i="3"/>
  <c r="A15" i="3"/>
  <c r="B14" i="3"/>
  <c r="A14" i="3"/>
  <c r="B13" i="3"/>
  <c r="A13" i="3"/>
  <c r="B12" i="3"/>
  <c r="A12" i="3"/>
  <c r="B11" i="3"/>
  <c r="A11" i="3"/>
  <c r="B10" i="3"/>
  <c r="A10" i="3"/>
  <c r="B9" i="3"/>
  <c r="A9" i="3"/>
  <c r="B8" i="3"/>
  <c r="A8" i="3"/>
  <c r="B7" i="3"/>
  <c r="A7" i="3"/>
  <c r="B6" i="3"/>
  <c r="A6" i="3"/>
  <c r="B5" i="3"/>
  <c r="A5" i="3"/>
  <c r="B4" i="3"/>
  <c r="A4" i="3"/>
  <c r="B3" i="3"/>
  <c r="A3" i="3"/>
  <c r="D2" i="3"/>
  <c r="B2" i="3"/>
  <c r="A2" i="3"/>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6" i="7"/>
  <c r="C5" i="7"/>
  <c r="C4" i="7"/>
  <c r="C3" i="7"/>
  <c r="C2" i="7"/>
  <c r="C1" i="7"/>
  <c r="I119" i="6"/>
  <c r="H119" i="6"/>
  <c r="I110" i="6"/>
  <c r="H110" i="6"/>
  <c r="I102" i="6"/>
  <c r="H102" i="6"/>
  <c r="I96" i="6"/>
  <c r="H96" i="6"/>
  <c r="I79" i="6"/>
  <c r="H79" i="6"/>
  <c r="I69" i="6"/>
  <c r="H69" i="6"/>
  <c r="I64" i="6"/>
  <c r="H64" i="6"/>
  <c r="I47" i="6"/>
  <c r="H47" i="6"/>
  <c r="I29" i="6"/>
  <c r="H29" i="6"/>
  <c r="I25" i="6"/>
  <c r="H25" i="6"/>
  <c r="I10" i="6"/>
  <c r="H10" i="6"/>
  <c r="J901" i="1"/>
  <c r="J902" i="1"/>
  <c r="J903" i="1"/>
  <c r="J904" i="1"/>
  <c r="J905" i="1"/>
  <c r="J906" i="1"/>
  <c r="J907" i="1"/>
  <c r="J908" i="1"/>
  <c r="J909" i="1"/>
  <c r="J910" i="1"/>
  <c r="J911" i="1"/>
  <c r="J912" i="1"/>
  <c r="J913" i="1"/>
  <c r="J914" i="1"/>
  <c r="J915" i="1"/>
  <c r="J916" i="1"/>
  <c r="J917" i="1"/>
  <c r="J918" i="1"/>
  <c r="J919" i="1"/>
  <c r="J845" i="1"/>
  <c r="J846" i="1"/>
  <c r="J847" i="1"/>
  <c r="J848" i="1"/>
  <c r="J849" i="1"/>
  <c r="J850" i="1"/>
  <c r="J851" i="1"/>
  <c r="J852" i="1"/>
  <c r="J853" i="1"/>
  <c r="J854" i="1"/>
  <c r="J855" i="1"/>
  <c r="J856" i="1"/>
  <c r="J857" i="1"/>
  <c r="J858" i="1"/>
  <c r="J859" i="1"/>
  <c r="J860" i="1"/>
  <c r="J861" i="1"/>
  <c r="J862" i="1"/>
  <c r="J863" i="1"/>
  <c r="J864" i="1"/>
  <c r="J865" i="1"/>
  <c r="J866" i="1"/>
  <c r="J867" i="1"/>
  <c r="J868" i="1"/>
  <c r="J869" i="1"/>
  <c r="J870" i="1"/>
  <c r="J871" i="1"/>
  <c r="J872" i="1"/>
  <c r="J873" i="1"/>
  <c r="J874" i="1"/>
  <c r="J875" i="1"/>
  <c r="J876" i="1"/>
  <c r="J877" i="1"/>
  <c r="J878" i="1"/>
  <c r="J879" i="1"/>
  <c r="J880" i="1"/>
  <c r="J881" i="1"/>
  <c r="J882" i="1"/>
  <c r="J883" i="1"/>
  <c r="J884" i="1"/>
  <c r="J885" i="1"/>
  <c r="J886" i="1"/>
  <c r="J887" i="1"/>
  <c r="J888" i="1"/>
  <c r="J889" i="1"/>
  <c r="J890" i="1"/>
  <c r="J891" i="1"/>
  <c r="J892" i="1"/>
  <c r="J893" i="1"/>
  <c r="J894" i="1"/>
  <c r="J818" i="1"/>
  <c r="J819" i="1"/>
  <c r="J820" i="1"/>
  <c r="J821" i="1"/>
  <c r="J822" i="1"/>
  <c r="J823" i="1"/>
  <c r="J824" i="1"/>
  <c r="J825" i="1"/>
  <c r="J826" i="1"/>
  <c r="J827" i="1"/>
  <c r="J828" i="1"/>
  <c r="J829" i="1"/>
  <c r="J830" i="1"/>
  <c r="J831" i="1"/>
  <c r="J832" i="1"/>
  <c r="J833" i="1"/>
  <c r="J834" i="1"/>
  <c r="J835" i="1"/>
  <c r="J836" i="1"/>
  <c r="J837" i="1"/>
  <c r="J838" i="1"/>
  <c r="J839" i="1"/>
  <c r="J840" i="1"/>
  <c r="J841" i="1"/>
  <c r="J842" i="1"/>
  <c r="J843" i="1"/>
  <c r="J844" i="1"/>
  <c r="J817" i="1"/>
  <c r="J816" i="1"/>
  <c r="J815" i="1"/>
  <c r="J814" i="1"/>
  <c r="J813" i="1"/>
  <c r="J812" i="1"/>
  <c r="J811" i="1"/>
  <c r="J810" i="1"/>
  <c r="J809" i="1"/>
  <c r="J808" i="1"/>
  <c r="J807" i="1"/>
  <c r="J806" i="1"/>
  <c r="J805" i="1"/>
  <c r="J804" i="1"/>
  <c r="I453" i="2"/>
  <c r="H453" i="2"/>
  <c r="I452" i="2"/>
  <c r="H452" i="2"/>
  <c r="I451" i="2"/>
  <c r="H451" i="2"/>
  <c r="H24" i="2"/>
  <c r="I24" i="2"/>
  <c r="H235" i="2"/>
  <c r="I235" i="2"/>
  <c r="H395" i="2"/>
  <c r="I395" i="2"/>
  <c r="H341" i="2"/>
  <c r="I341" i="2"/>
  <c r="H572" i="2"/>
  <c r="I572" i="2"/>
  <c r="H591" i="2"/>
  <c r="I591" i="2"/>
  <c r="H592" i="2"/>
  <c r="I592" i="2"/>
  <c r="H593" i="2"/>
  <c r="I593" i="2"/>
  <c r="H594" i="2"/>
  <c r="I594" i="2"/>
  <c r="H516" i="2"/>
  <c r="I516" i="2"/>
  <c r="H517" i="2"/>
  <c r="I517" i="2"/>
  <c r="H518" i="2"/>
  <c r="I518" i="2"/>
  <c r="H519" i="2"/>
  <c r="I519" i="2"/>
  <c r="H25" i="2"/>
  <c r="I25" i="2"/>
  <c r="H26" i="2"/>
  <c r="I26" i="2"/>
  <c r="H27" i="2"/>
  <c r="I27" i="2"/>
  <c r="H28" i="2"/>
  <c r="I28" i="2"/>
  <c r="H29" i="2"/>
  <c r="I29" i="2"/>
  <c r="H30" i="2"/>
  <c r="I30" i="2"/>
  <c r="H613" i="2"/>
  <c r="I613" i="2"/>
  <c r="H614" i="2"/>
  <c r="I614" i="2"/>
  <c r="H212" i="2"/>
  <c r="I212" i="2"/>
  <c r="H213" i="2"/>
  <c r="I213" i="2"/>
  <c r="H214" i="2"/>
  <c r="I214" i="2"/>
  <c r="H215" i="2"/>
  <c r="I215" i="2"/>
  <c r="H216" i="2"/>
  <c r="I216" i="2"/>
  <c r="H217" i="2"/>
  <c r="I217" i="2"/>
  <c r="H218" i="2"/>
  <c r="I218" i="2"/>
  <c r="H219" i="2"/>
  <c r="I219" i="2"/>
  <c r="H220" i="2"/>
  <c r="I220" i="2"/>
  <c r="H3" i="2"/>
  <c r="I3" i="2"/>
  <c r="H800" i="2"/>
  <c r="I800" i="2"/>
  <c r="H801" i="2"/>
  <c r="I801" i="2"/>
  <c r="H19" i="2"/>
  <c r="I19" i="2"/>
  <c r="H20" i="2"/>
  <c r="I20" i="2"/>
  <c r="H21" i="2"/>
  <c r="I21" i="2"/>
  <c r="H22" i="2"/>
  <c r="I22" i="2"/>
  <c r="H23" i="2"/>
  <c r="I23" i="2"/>
  <c r="I412" i="2"/>
  <c r="H412" i="2"/>
  <c r="I638" i="2"/>
  <c r="H638" i="2"/>
  <c r="I637" i="2"/>
  <c r="H637" i="2"/>
  <c r="I636" i="2"/>
  <c r="H636" i="2"/>
  <c r="I635" i="2"/>
  <c r="H635" i="2"/>
  <c r="I226" i="2"/>
  <c r="H226" i="2"/>
  <c r="I551" i="2"/>
  <c r="H551" i="2"/>
  <c r="I394" i="2"/>
  <c r="H394" i="2"/>
</calcChain>
</file>

<file path=xl/sharedStrings.xml><?xml version="1.0" encoding="utf-8"?>
<sst xmlns="http://schemas.openxmlformats.org/spreadsheetml/2006/main" count="20880" uniqueCount="5518">
  <si>
    <r>
      <t xml:space="preserve">Account Name
</t>
    </r>
    <r>
      <rPr>
        <sz val="10"/>
        <color theme="1"/>
        <rFont val="Calibri"/>
        <family val="2"/>
        <scheme val="minor"/>
      </rPr>
      <t>(Not Required)</t>
    </r>
  </si>
  <si>
    <r>
      <t xml:space="preserve">Account ID
</t>
    </r>
    <r>
      <rPr>
        <sz val="10"/>
        <color theme="1"/>
        <rFont val="Calibri"/>
        <family val="2"/>
        <scheme val="minor"/>
      </rPr>
      <t>(Not Required)</t>
    </r>
  </si>
  <si>
    <r>
      <t xml:space="preserve">Contact Name
</t>
    </r>
    <r>
      <rPr>
        <sz val="10"/>
        <color theme="1"/>
        <rFont val="Calibri"/>
        <family val="2"/>
        <scheme val="minor"/>
      </rPr>
      <t>(Not Required)</t>
    </r>
  </si>
  <si>
    <r>
      <t xml:space="preserve">Contact ID
</t>
    </r>
    <r>
      <rPr>
        <sz val="10"/>
        <color theme="1"/>
        <rFont val="Calibri"/>
        <family val="2"/>
        <scheme val="minor"/>
      </rPr>
      <t>(Required)</t>
    </r>
  </si>
  <si>
    <r>
      <t xml:space="preserve">Description
</t>
    </r>
    <r>
      <rPr>
        <sz val="10"/>
        <color theme="1"/>
        <rFont val="Calibri"/>
        <family val="2"/>
        <scheme val="minor"/>
      </rPr>
      <t>(Required)</t>
    </r>
  </si>
  <si>
    <r>
      <t xml:space="preserve">Activity Date
</t>
    </r>
    <r>
      <rPr>
        <sz val="10"/>
        <color theme="1"/>
        <rFont val="Calibri"/>
        <family val="2"/>
        <scheme val="minor"/>
      </rPr>
      <t>(Required)</t>
    </r>
  </si>
  <si>
    <r>
      <t xml:space="preserve">Notes 
</t>
    </r>
    <r>
      <rPr>
        <sz val="10"/>
        <color theme="1"/>
        <rFont val="Calibri"/>
        <family val="2"/>
        <scheme val="minor"/>
      </rPr>
      <t>(Data required in this field)</t>
    </r>
  </si>
  <si>
    <t xml:space="preserve"> </t>
  </si>
  <si>
    <t>wago2022!CalebPage</t>
  </si>
  <si>
    <t>Password to unlock worksheet:</t>
  </si>
  <si>
    <t>Mobile</t>
  </si>
  <si>
    <t>Email</t>
  </si>
  <si>
    <t>Address</t>
  </si>
  <si>
    <t>First Name</t>
  </si>
  <si>
    <t>Last Name</t>
  </si>
  <si>
    <t>020123</t>
  </si>
  <si>
    <t>Partnership with SolVIS Automation</t>
  </si>
  <si>
    <t>Activity Logged</t>
  </si>
  <si>
    <t>Scott</t>
  </si>
  <si>
    <t>Jay Smith</t>
  </si>
  <si>
    <t>Robbins &amp; Bohr</t>
  </si>
  <si>
    <t>Bill Jones</t>
  </si>
  <si>
    <t>Hyla</t>
  </si>
  <si>
    <t>James Cole</t>
  </si>
  <si>
    <t>NRT</t>
  </si>
  <si>
    <t>Brian Sherman</t>
  </si>
  <si>
    <t>Tri-Phase</t>
  </si>
  <si>
    <t>Bob Rucker</t>
  </si>
  <si>
    <t>CRESCENT ELECTRIC SUPPLY</t>
  </si>
  <si>
    <t>Sam Garrison</t>
  </si>
  <si>
    <t>Esquire</t>
  </si>
  <si>
    <t>Jeff Tittsworth</t>
  </si>
  <si>
    <t>Star Mfg</t>
  </si>
  <si>
    <t>Freddy Crabtree</t>
  </si>
  <si>
    <t>Bob Higman</t>
  </si>
  <si>
    <t>PREMIER SYSTEM INTEGRATORS</t>
  </si>
  <si>
    <t>Currie Gieg</t>
  </si>
  <si>
    <t>Anixter</t>
  </si>
  <si>
    <t>David Spec</t>
  </si>
  <si>
    <t>Chromalox</t>
  </si>
  <si>
    <t>Scott Delaney</t>
  </si>
  <si>
    <t>Interrail Signal</t>
  </si>
  <si>
    <t>Daniel Hullet</t>
  </si>
  <si>
    <t>Alex Melgar</t>
  </si>
  <si>
    <t>K Pearson</t>
  </si>
  <si>
    <t>Gary Riggle</t>
  </si>
  <si>
    <t>Al Smith</t>
  </si>
  <si>
    <t>Kaye Smithson</t>
  </si>
  <si>
    <t>Michael Wright</t>
  </si>
  <si>
    <t>Chemstation</t>
  </si>
  <si>
    <t>Gary Endres</t>
  </si>
  <si>
    <t>Greentech Environmental</t>
  </si>
  <si>
    <t>Russell Ariks</t>
  </si>
  <si>
    <t>Pioneer Technologies</t>
  </si>
  <si>
    <t>Matt Owens</t>
  </si>
  <si>
    <t>Kyzen</t>
  </si>
  <si>
    <t>Joseph Adams</t>
  </si>
  <si>
    <t>Alpha Integration</t>
  </si>
  <si>
    <t>David Ellis</t>
  </si>
  <si>
    <t>Ken Shrum</t>
  </si>
  <si>
    <t>Nick Duke</t>
  </si>
  <si>
    <t>Tim Cochran</t>
  </si>
  <si>
    <t>QMSI</t>
  </si>
  <si>
    <t>Devin Doty</t>
  </si>
  <si>
    <t>Ben Garratt</t>
  </si>
  <si>
    <t>Alan McCready</t>
  </si>
  <si>
    <t>Bobby Glidwell</t>
  </si>
  <si>
    <t>Rick Costa</t>
  </si>
  <si>
    <t>Wingfield</t>
  </si>
  <si>
    <t>Eric Frizzel</t>
  </si>
  <si>
    <t>AIG</t>
  </si>
  <si>
    <t>Lori</t>
  </si>
  <si>
    <t>Mid South</t>
  </si>
  <si>
    <t>Chuck</t>
  </si>
  <si>
    <t>Chairmans Foods</t>
  </si>
  <si>
    <t>Jake Taylor</t>
  </si>
  <si>
    <t>Automation NTH</t>
  </si>
  <si>
    <t>Shane Cox</t>
  </si>
  <si>
    <t>Scott Weeks</t>
  </si>
  <si>
    <t>Mark Gray</t>
  </si>
  <si>
    <t xml:space="preserve">Viskase </t>
  </si>
  <si>
    <t>Chris Williams</t>
  </si>
  <si>
    <t>Jordan Fouts</t>
  </si>
  <si>
    <t>Specialized Industry Solutions (SIS)</t>
  </si>
  <si>
    <t>Jeremy Vinsone</t>
  </si>
  <si>
    <t>Davis Phoxay</t>
  </si>
  <si>
    <t>Zac Koontz</t>
  </si>
  <si>
    <t>Steven McHorney</t>
  </si>
  <si>
    <t>Mitch Davis</t>
  </si>
  <si>
    <t xml:space="preserve">Tech Shop </t>
  </si>
  <si>
    <t xml:space="preserve">Devan Martin </t>
  </si>
  <si>
    <t>SPRING AUTOMATION</t>
  </si>
  <si>
    <t>Michael Davis</t>
  </si>
  <si>
    <t>ADVANCED ENGINEERING</t>
  </si>
  <si>
    <t>Joshua Shoemaker</t>
  </si>
  <si>
    <t>Denso</t>
  </si>
  <si>
    <t>Joseph Poole</t>
  </si>
  <si>
    <t>GF Puhl</t>
  </si>
  <si>
    <t>Joe Combs</t>
  </si>
  <si>
    <t>Horticulture Lighting Group</t>
  </si>
  <si>
    <t>Scott Odom</t>
  </si>
  <si>
    <t>Chris Phillips</t>
  </si>
  <si>
    <t>Erick Ramirez</t>
  </si>
  <si>
    <t>Jeff Hutton</t>
  </si>
  <si>
    <t>Crescent Electric</t>
  </si>
  <si>
    <t>Josh Wilson</t>
  </si>
  <si>
    <t>Richard Smith</t>
  </si>
  <si>
    <t xml:space="preserve">Custom Control Solutions LLC </t>
  </si>
  <si>
    <t>Alan Neal</t>
  </si>
  <si>
    <t>Shoals Technologies Group</t>
  </si>
  <si>
    <t>Dan Bertell, PE</t>
  </si>
  <si>
    <t>AutomatiCoding Inc</t>
  </si>
  <si>
    <t>Shawn Sanders</t>
  </si>
  <si>
    <t>Ryan Frewin</t>
  </si>
  <si>
    <t>Jason Noris</t>
  </si>
  <si>
    <t>Adam Kane</t>
  </si>
  <si>
    <t>Greg Sun</t>
  </si>
  <si>
    <t>Tritium</t>
  </si>
  <si>
    <t>Joshua Drake</t>
  </si>
  <si>
    <t>Lynn Crawford</t>
  </si>
  <si>
    <t>Sonoco</t>
  </si>
  <si>
    <t>Marty Porter</t>
  </si>
  <si>
    <t>ATC Automation</t>
  </si>
  <si>
    <t>Wallace Dobbs</t>
  </si>
  <si>
    <t>Vi-Jon</t>
  </si>
  <si>
    <t>Joe Mashburn</t>
  </si>
  <si>
    <t>DRM</t>
  </si>
  <si>
    <t>Rickey Crouch</t>
  </si>
  <si>
    <t>Barry Brian</t>
  </si>
  <si>
    <t>Jim Bowser</t>
  </si>
  <si>
    <t>Cross Company</t>
  </si>
  <si>
    <t>Scott Fesler</t>
  </si>
  <si>
    <t>John Laurens</t>
  </si>
  <si>
    <t>Josh Brady</t>
  </si>
  <si>
    <t>josh.brady@na.denso.com</t>
  </si>
  <si>
    <t/>
  </si>
  <si>
    <t>William Buida</t>
  </si>
  <si>
    <t>william.buida@na.denso.com</t>
  </si>
  <si>
    <t>Mike Conley</t>
  </si>
  <si>
    <t>mike.conley@na.denso.com</t>
  </si>
  <si>
    <t>Matt Cooper</t>
  </si>
  <si>
    <t>matt.cooper@na.denso.com</t>
  </si>
  <si>
    <t>Michael Dumessa</t>
  </si>
  <si>
    <t>michael.dumessa@na.denso.com</t>
  </si>
  <si>
    <t>Luke Dunnewold</t>
  </si>
  <si>
    <t>luke.dunnewold@na.denso.com</t>
  </si>
  <si>
    <t>Brandon Hall</t>
  </si>
  <si>
    <t>brandon.hall@na.denso.com</t>
  </si>
  <si>
    <t>David Hinson</t>
  </si>
  <si>
    <t>david.hinson@na.denso.com</t>
  </si>
  <si>
    <t>Kris Karnoupakis</t>
  </si>
  <si>
    <t>kris.karnoupakis@na.denso.com</t>
  </si>
  <si>
    <t>Stephen Legg</t>
  </si>
  <si>
    <t>stephen.legg@na.denso.com</t>
  </si>
  <si>
    <t>Aaron May</t>
  </si>
  <si>
    <t>aaron.may@na.denso.com</t>
  </si>
  <si>
    <t>Tony Ngo</t>
  </si>
  <si>
    <t>tony.ngo@na.denso.com</t>
  </si>
  <si>
    <t>Matthew Sewell</t>
  </si>
  <si>
    <t>David Sims</t>
  </si>
  <si>
    <t>david.sims@na.denso.com</t>
  </si>
  <si>
    <t>Maria Spoon</t>
  </si>
  <si>
    <t>maria.spoon@na.denso.com</t>
  </si>
  <si>
    <t>Ethan Vals</t>
  </si>
  <si>
    <t>ethan.vals@na.denso.com</t>
  </si>
  <si>
    <t>Tariku Woldemichael</t>
  </si>
  <si>
    <t>tariku.woldemichael@na.denso.com</t>
  </si>
  <si>
    <t>David Young</t>
  </si>
  <si>
    <t>david.young@na.denso.com</t>
  </si>
  <si>
    <t>Tim Bright</t>
  </si>
  <si>
    <t>American Greetings</t>
  </si>
  <si>
    <t>tim.bright@amgreetings.com</t>
  </si>
  <si>
    <t>Lucas Greer</t>
  </si>
  <si>
    <t>lucas.greer@amgreetings.com</t>
  </si>
  <si>
    <t>Gregory Gorman</t>
  </si>
  <si>
    <t>Carlstar Group</t>
  </si>
  <si>
    <t>gregory.gorman@carlstargroup.com</t>
  </si>
  <si>
    <t>Esther Johnson</t>
  </si>
  <si>
    <t>esther.johnson@carlstargroup.com</t>
  </si>
  <si>
    <t>Joe Robbins</t>
  </si>
  <si>
    <t>joe.robbins@carlstargroup.com</t>
  </si>
  <si>
    <t>Joel Sprow</t>
  </si>
  <si>
    <t>joel.sprow@carlstargroup.com</t>
  </si>
  <si>
    <t>Brian Wright</t>
  </si>
  <si>
    <t>brian.wright@carlstargroup.com</t>
  </si>
  <si>
    <t>Edward McDonald</t>
  </si>
  <si>
    <t>Edgewell Personal Care</t>
  </si>
  <si>
    <t>emcdonald@edgewell.com</t>
  </si>
  <si>
    <t>'+1 (865) 540-1286</t>
  </si>
  <si>
    <t>Brian Russell</t>
  </si>
  <si>
    <t>brussell@edgewell.com</t>
  </si>
  <si>
    <t>'+1 (865) 236-4884</t>
  </si>
  <si>
    <t>Ryan Priddy</t>
  </si>
  <si>
    <t>Gemtron Corporation</t>
  </si>
  <si>
    <t>ryan.priddy@us.schott.com</t>
  </si>
  <si>
    <t>615 New Hwy 68 / Sweetwater TN 37874</t>
  </si>
  <si>
    <t>Dale Cottingham</t>
  </si>
  <si>
    <t>Howmet Aerospace</t>
  </si>
  <si>
    <t>dale.cottingham@howmet.com</t>
  </si>
  <si>
    <t>5650 Commerce Blvd / Morristown TN 37814</t>
  </si>
  <si>
    <t>Daryle Lewis</t>
  </si>
  <si>
    <t>daryle.lewis@howmet.com</t>
  </si>
  <si>
    <t>Rachel Pry</t>
  </si>
  <si>
    <t>rachelepry@gmail.com</t>
  </si>
  <si>
    <t>Wendell Faulkner</t>
  </si>
  <si>
    <t>JTEKT</t>
  </si>
  <si>
    <t>wendell.faulkner@jtekt.com</t>
  </si>
  <si>
    <t>5932 Commerce BLVD / Morristown TN 37814</t>
  </si>
  <si>
    <t>Anthony Forster</t>
  </si>
  <si>
    <t>anthony.forster@jtekt.com</t>
  </si>
  <si>
    <t>Matt Raby</t>
  </si>
  <si>
    <t>matt.raby@jtekt.com</t>
  </si>
  <si>
    <t>Barry Wolfe</t>
  </si>
  <si>
    <t>barry.wolfe@jtekt.com</t>
  </si>
  <si>
    <t>Faith Myers</t>
  </si>
  <si>
    <t>Newell Brands</t>
  </si>
  <si>
    <t>faith.myers@newellco.com</t>
  </si>
  <si>
    <t>Dax Patel</t>
  </si>
  <si>
    <t>daxesh.patel@newellco.com</t>
  </si>
  <si>
    <t>Andy Pokelwaldt</t>
  </si>
  <si>
    <t>andrew.pokelwaldt@newellco.com</t>
  </si>
  <si>
    <t>Mary Bright</t>
  </si>
  <si>
    <t>Oak Ridge National Laboratory</t>
  </si>
  <si>
    <t>brightme@ornl.gov</t>
  </si>
  <si>
    <t>5200, 1 Bethel Valley Rd / Oak Ridge TN 37830</t>
  </si>
  <si>
    <t>Terry Dodson</t>
  </si>
  <si>
    <t>dodsontd@ornl.gov</t>
  </si>
  <si>
    <t>Jim Hicks</t>
  </si>
  <si>
    <t>Joe McVigh</t>
  </si>
  <si>
    <t>mcveighj@ornl.gov</t>
  </si>
  <si>
    <t>John Sinclair</t>
  </si>
  <si>
    <t>Andy Souders</t>
  </si>
  <si>
    <t>soudersa@ornl.gov</t>
  </si>
  <si>
    <t>Eddie Tapp</t>
  </si>
  <si>
    <t>Kenneth Tobin</t>
  </si>
  <si>
    <t>tobinkwjr@ornl.gov</t>
  </si>
  <si>
    <t>RJ Warmack</t>
  </si>
  <si>
    <t>warmackrj@ornl.gov</t>
  </si>
  <si>
    <t>Bob Wilson</t>
  </si>
  <si>
    <t>wisonri@ornl.gov</t>
  </si>
  <si>
    <t>Jack Charbonnet</t>
  </si>
  <si>
    <t>Perdue Farms</t>
  </si>
  <si>
    <t>jack.charbonnet@perdue.com</t>
  </si>
  <si>
    <t>2300 Industrial Dr / Monterey TN 38574</t>
  </si>
  <si>
    <t>Cierra Falcon</t>
  </si>
  <si>
    <t>Cierra.falcon@perdue.com</t>
  </si>
  <si>
    <t>Dylan Eieger</t>
  </si>
  <si>
    <t>Protomet Corporation</t>
  </si>
  <si>
    <t>dylan.eieger@protomet.com</t>
  </si>
  <si>
    <t>2400 Maremont Pkwy / Loudon TN 37774</t>
  </si>
  <si>
    <t>Bill Guinn</t>
  </si>
  <si>
    <t>bill.guinn@protomet.com</t>
  </si>
  <si>
    <t>David Russell</t>
  </si>
  <si>
    <t>david.russell@protomet.com</t>
  </si>
  <si>
    <t>Matt Blaylock</t>
  </si>
  <si>
    <t>Stone Mountain Technologies</t>
  </si>
  <si>
    <t>mblaylock@stonemtntechnologies.com</t>
  </si>
  <si>
    <t>609 Wesinpar Rd / Johnson City TN 37604</t>
  </si>
  <si>
    <t>Nick Hitchcock</t>
  </si>
  <si>
    <t>nhitchcock@stonemtntechnologies.com</t>
  </si>
  <si>
    <t>Andy Kaczmarek</t>
  </si>
  <si>
    <t>akaczmarek@stonemtntechnologies.com</t>
  </si>
  <si>
    <t>Dave Monk</t>
  </si>
  <si>
    <t>dmonk@stonemtntechnologies.com</t>
  </si>
  <si>
    <t>Adam Roberts</t>
  </si>
  <si>
    <t>aroberts@stonemtntechnologies.com</t>
  </si>
  <si>
    <t>Benton White</t>
  </si>
  <si>
    <t>WhisperRoom</t>
  </si>
  <si>
    <t>bentonwhite@whisperroom.com</t>
  </si>
  <si>
    <t>Lori Bell</t>
  </si>
  <si>
    <t xml:space="preserve">Mid-South Automation </t>
  </si>
  <si>
    <t>lbell@msautomation.com</t>
  </si>
  <si>
    <t>2295 W Broad St / Cookeville TN 38501</t>
  </si>
  <si>
    <t>Jose Felix</t>
  </si>
  <si>
    <t>jfelix@msautomation.com</t>
  </si>
  <si>
    <t>Brian Rush</t>
  </si>
  <si>
    <t>brush@msautomation.com</t>
  </si>
  <si>
    <t>Tyler LaFollette</t>
  </si>
  <si>
    <t>Air &amp; Hydraulic Equipment</t>
  </si>
  <si>
    <t>tlafollette@aheinfo.com</t>
  </si>
  <si>
    <t>Dimas Aranda</t>
  </si>
  <si>
    <t>darande@atcautomation.com</t>
  </si>
  <si>
    <t>101 Mill Dr, / Cookeville TN 38501</t>
  </si>
  <si>
    <t>David Bailey</t>
  </si>
  <si>
    <t>davidb@atcautomation.com</t>
  </si>
  <si>
    <t>Kenny Bouton</t>
  </si>
  <si>
    <t>kbouton@atcautomation.com</t>
  </si>
  <si>
    <t>Kenny Bryant</t>
  </si>
  <si>
    <t>kennyb@atcautomation.com</t>
  </si>
  <si>
    <t>Bobby Buck</t>
  </si>
  <si>
    <t>bobbyb@atcautomation.com</t>
  </si>
  <si>
    <t>L Cataloes</t>
  </si>
  <si>
    <t>lcataloes@atcautomation.com</t>
  </si>
  <si>
    <t>Shawn Cobble</t>
  </si>
  <si>
    <t>shawnc@atcautomation.com</t>
  </si>
  <si>
    <t>Austin Cole</t>
  </si>
  <si>
    <t>austinc@atcautomation.com</t>
  </si>
  <si>
    <t>JUstin Dement</t>
  </si>
  <si>
    <t>justind@atcautomation.com</t>
  </si>
  <si>
    <t>Jonathan Dietz</t>
  </si>
  <si>
    <t>jdietz@atcautomation.com</t>
  </si>
  <si>
    <t>David Electrician</t>
  </si>
  <si>
    <t>Joey Franklin</t>
  </si>
  <si>
    <t>jfranklin@atcautomation.com</t>
  </si>
  <si>
    <t>Jim Johnson</t>
  </si>
  <si>
    <t>jimj@atcautomation.com</t>
  </si>
  <si>
    <t>Alvaro Juarez</t>
  </si>
  <si>
    <t>ajuarez@atcautomation.com</t>
  </si>
  <si>
    <t>Jon Kossa</t>
  </si>
  <si>
    <t>jonk@atcautomation.com</t>
  </si>
  <si>
    <t>Clem Lead Electrician</t>
  </si>
  <si>
    <t>Chuck Maynor</t>
  </si>
  <si>
    <t>chuckm@atcautomation.com</t>
  </si>
  <si>
    <t>Jake McGusland</t>
  </si>
  <si>
    <t>Faune Nunnery</t>
  </si>
  <si>
    <t>faunen@atcautomation.com</t>
  </si>
  <si>
    <t>Troy Pahnke</t>
  </si>
  <si>
    <t>troyp@atcautomation.com</t>
  </si>
  <si>
    <t>Kyle Patrick</t>
  </si>
  <si>
    <t>kylep@atcautomation.com</t>
  </si>
  <si>
    <t>Jamie Presley</t>
  </si>
  <si>
    <t>Jamesp@atcautomation.com</t>
  </si>
  <si>
    <t>Brady Riddle</t>
  </si>
  <si>
    <t>bradyr@atcautomation.com</t>
  </si>
  <si>
    <t>Dylan Robert</t>
  </si>
  <si>
    <t>dylanr@atcautomation.com</t>
  </si>
  <si>
    <t>Zeke Shauer</t>
  </si>
  <si>
    <t>zekes@atcautomation.com</t>
  </si>
  <si>
    <t>Eric Slaver</t>
  </si>
  <si>
    <t>erics@atcautomation.com</t>
  </si>
  <si>
    <t>Steve Strickland</t>
  </si>
  <si>
    <t>steve.strickland@atcautomation.com</t>
  </si>
  <si>
    <t>Jimmy Strong</t>
  </si>
  <si>
    <t>jimmys@atcautomation.com</t>
  </si>
  <si>
    <t>Phil Walker</t>
  </si>
  <si>
    <t>philw@atcautomation.com</t>
  </si>
  <si>
    <t>Ben Webster</t>
  </si>
  <si>
    <t>benw@automationtool.com</t>
  </si>
  <si>
    <t>Donny Winningham</t>
  </si>
  <si>
    <t>donnyw@atcautomation.com</t>
  </si>
  <si>
    <t>Jimmy Wix</t>
  </si>
  <si>
    <t>jimmyw@atcautomation.com</t>
  </si>
  <si>
    <t>John Zoodsma</t>
  </si>
  <si>
    <t>johnz@atcautomation.com</t>
  </si>
  <si>
    <t>Chris Garber</t>
  </si>
  <si>
    <t>TRANE</t>
  </si>
  <si>
    <t>chris.garber@trane.com</t>
  </si>
  <si>
    <t>2701 Wilma Rudolph Blvd / Clarksville TN 37040</t>
  </si>
  <si>
    <t>Brandon Ladner</t>
  </si>
  <si>
    <t>brandon.ladner@tranetechnologies.com</t>
  </si>
  <si>
    <t>Mat Turner</t>
  </si>
  <si>
    <t>mat.turner@tranetechnologies.com</t>
  </si>
  <si>
    <t>Mark Bailey</t>
  </si>
  <si>
    <t>Mesa Associates, Inc.</t>
  </si>
  <si>
    <t>mbailey@mesainc.com</t>
  </si>
  <si>
    <t>Tanner Bryant</t>
  </si>
  <si>
    <t>tbryant@mesainc.com</t>
  </si>
  <si>
    <t>Adam Dalton</t>
  </si>
  <si>
    <t>adalton@mesainc.com</t>
  </si>
  <si>
    <t>Aneesh Davalbhakta</t>
  </si>
  <si>
    <t>ADavalbhakta@mesainc.com</t>
  </si>
  <si>
    <t>Greg Dixon</t>
  </si>
  <si>
    <t>gdixon@mesainc.com</t>
  </si>
  <si>
    <t>Ken Eudy</t>
  </si>
  <si>
    <t>keudy@mesainc.com</t>
  </si>
  <si>
    <t>Joshua Holt</t>
  </si>
  <si>
    <t>jholt@mesainc.com</t>
  </si>
  <si>
    <t>Jason Horner</t>
  </si>
  <si>
    <t>jhorner@mesainc.com</t>
  </si>
  <si>
    <t>Rodney Huffman</t>
  </si>
  <si>
    <t>RICK JORDAN</t>
  </si>
  <si>
    <t>RJORDAN@MESAINC.COM</t>
  </si>
  <si>
    <t>Meshal Marzooq</t>
  </si>
  <si>
    <t>mmarzooq@mesainc.com</t>
  </si>
  <si>
    <t>Barry Mead</t>
  </si>
  <si>
    <t>bmeade@mesainc.com</t>
  </si>
  <si>
    <t>Mitchell John Miller</t>
  </si>
  <si>
    <t>jmiller@mesainc.com</t>
  </si>
  <si>
    <t>Lisa Mixner-Ellis</t>
  </si>
  <si>
    <t>lmixner@mesainc.com</t>
  </si>
  <si>
    <t>Hiram Morales</t>
  </si>
  <si>
    <t>hmorales@mesainc.com</t>
  </si>
  <si>
    <t>Todd Nelson</t>
  </si>
  <si>
    <t>tnelson@mesainc.com</t>
  </si>
  <si>
    <t>Jordan Pennington</t>
  </si>
  <si>
    <t>jpennington@mesainc.com</t>
  </si>
  <si>
    <t>Tom Poole</t>
  </si>
  <si>
    <t>tpoole@mesainc.com</t>
  </si>
  <si>
    <t>Rebecca Rudd</t>
  </si>
  <si>
    <t>rrudd@mesainc.com</t>
  </si>
  <si>
    <t>Todd Ryan</t>
  </si>
  <si>
    <t>tryan@mesainc.com</t>
  </si>
  <si>
    <t>Matthew Sentell</t>
  </si>
  <si>
    <t>msentell@mesainc.com</t>
  </si>
  <si>
    <t>Bob Southern</t>
  </si>
  <si>
    <t>rsouthern@mesainc.com</t>
  </si>
  <si>
    <t>English Standifer</t>
  </si>
  <si>
    <t>estandifer@mesainc.com</t>
  </si>
  <si>
    <t>Michael Still</t>
  </si>
  <si>
    <t>mstill@mesainc.com</t>
  </si>
  <si>
    <t>Paul Summers</t>
  </si>
  <si>
    <t>psummers@mesainc.com</t>
  </si>
  <si>
    <t>MICHAEL WHITT</t>
  </si>
  <si>
    <t>MWHITT@MESAINC.COM</t>
  </si>
  <si>
    <t>Patrick Wickersham</t>
  </si>
  <si>
    <t>pwickersham@mesainc.com</t>
  </si>
  <si>
    <t>Lucas Bromenshenkel</t>
  </si>
  <si>
    <t>JR Automation</t>
  </si>
  <si>
    <t>Lucas.Bromenshenkel@jrautomation.com</t>
  </si>
  <si>
    <t>1520 Elm Hill Pike / Nashville TN 37210</t>
  </si>
  <si>
    <t>Charley Feng</t>
  </si>
  <si>
    <t>Charley.Feng@jrautomation.com</t>
  </si>
  <si>
    <t>Thomas Hart</t>
  </si>
  <si>
    <t>Thomas.Hart@jrautomation.com</t>
  </si>
  <si>
    <t>'+1 (615) 712-5043</t>
  </si>
  <si>
    <t>Andrew Kane</t>
  </si>
  <si>
    <t>Andrew.Kane@jrautomation.com</t>
  </si>
  <si>
    <t>Rob Meyer</t>
  </si>
  <si>
    <t>Rob.Meyer@jrautomation.com</t>
  </si>
  <si>
    <t>Tom Palka</t>
  </si>
  <si>
    <t>tpalka@jrautomation.com</t>
  </si>
  <si>
    <t>Rambeski? Patel</t>
  </si>
  <si>
    <t>Jason Pavlik</t>
  </si>
  <si>
    <t>Jason.Pavlik@jrautomation.com</t>
  </si>
  <si>
    <t>Preston Rahn</t>
  </si>
  <si>
    <t>preston.rahn@jrautomation.com</t>
  </si>
  <si>
    <t>John Scarpelli</t>
  </si>
  <si>
    <t>John.Scarpelli@jrautomation.com</t>
  </si>
  <si>
    <t>Glenn Schmidke</t>
  </si>
  <si>
    <t>Glenn.Schmidke@jrautomation.com</t>
  </si>
  <si>
    <t>D Selm…</t>
  </si>
  <si>
    <t>unknown@jrautomation.com</t>
  </si>
  <si>
    <t>Joe Sernett</t>
  </si>
  <si>
    <t>Joe.Sernett@jrautomation.com</t>
  </si>
  <si>
    <t>Alan Sherwood</t>
  </si>
  <si>
    <t>Alan.Sherwood@jrautomation.com</t>
  </si>
  <si>
    <t>Adam Sirulnick</t>
  </si>
  <si>
    <t>Adam.Sirulnick@jrautomation.com</t>
  </si>
  <si>
    <t>Kelly Slow</t>
  </si>
  <si>
    <t>Kelly.Slow@jrautomation.com</t>
  </si>
  <si>
    <t>Nick Surface</t>
  </si>
  <si>
    <t>nicholoas.suface@jrautomation.com</t>
  </si>
  <si>
    <t>Ryan Trebendis</t>
  </si>
  <si>
    <t>Ryan.Trebendis@jrautomation.com</t>
  </si>
  <si>
    <t>DJ unknown</t>
  </si>
  <si>
    <t>DJ.unknown@jrautomation.com</t>
  </si>
  <si>
    <t>Kelvin Walker</t>
  </si>
  <si>
    <t>Kelvin.Walker@jrautomation.com</t>
  </si>
  <si>
    <t>Marcus Williams</t>
  </si>
  <si>
    <t>Marcus.Williams@jrautomation.com</t>
  </si>
  <si>
    <t>Matt Zahn</t>
  </si>
  <si>
    <t>Matt.Zahn@jrautomation.com</t>
  </si>
  <si>
    <t>Van McCall</t>
  </si>
  <si>
    <t>Heilind</t>
  </si>
  <si>
    <t>vmccall@heilind.com</t>
  </si>
  <si>
    <t>678) 288-3973</t>
  </si>
  <si>
    <t>3331 Hamilton Mill Rd / Buford GA 30519 / US</t>
  </si>
  <si>
    <t>Micah Rentschler</t>
  </si>
  <si>
    <t>micahr@atcautomation.com</t>
  </si>
  <si>
    <t>Mark Chambers</t>
  </si>
  <si>
    <t>Astec</t>
  </si>
  <si>
    <t>mchambers@astecindustries.com</t>
  </si>
  <si>
    <t>'+1 (4237183863)</t>
  </si>
  <si>
    <t>4101 JEROME AVENUE / CHATTANOOGA TN 37407</t>
  </si>
  <si>
    <t>Bryan Eley</t>
  </si>
  <si>
    <t>beley@astecindustries.com</t>
  </si>
  <si>
    <t>Daniel Francisco</t>
  </si>
  <si>
    <t>dfrancisco@astecindustries.com</t>
  </si>
  <si>
    <t>'+1 (4232400344)</t>
  </si>
  <si>
    <t>Mark Harned</t>
  </si>
  <si>
    <t>Dan Hughes</t>
  </si>
  <si>
    <t>dhughes@astecindustries.com</t>
  </si>
  <si>
    <t>'+1 (9134492601)</t>
  </si>
  <si>
    <t>Jeff Johnston</t>
  </si>
  <si>
    <t>jjohnston@astecindustries.com</t>
  </si>
  <si>
    <t>'+1 (4233046719)</t>
  </si>
  <si>
    <t>Dusty McNabb</t>
  </si>
  <si>
    <t>pmcnabb@astecindustries.com</t>
  </si>
  <si>
    <t>'+1 (423) 509-4406</t>
  </si>
  <si>
    <t>Stephen Payne</t>
  </si>
  <si>
    <t>spayne@astecinc.com</t>
  </si>
  <si>
    <t>Jeff Richard</t>
  </si>
  <si>
    <t>jrichard@astecinc.com</t>
  </si>
  <si>
    <t>Keith Skunberg</t>
  </si>
  <si>
    <t>kskunberg@astecindustries.com</t>
  </si>
  <si>
    <t>'+1 (17019410886)</t>
  </si>
  <si>
    <t>Alan Tahler</t>
  </si>
  <si>
    <t>atahler@astecindustries.com</t>
  </si>
  <si>
    <t>'+1 (4236811690)</t>
  </si>
  <si>
    <t>John Watson</t>
  </si>
  <si>
    <t>jwatson@astecindustries.com</t>
  </si>
  <si>
    <t>'+1 (4234130062)</t>
  </si>
  <si>
    <t>Misty Williams</t>
  </si>
  <si>
    <t>mwilliams@astecindustries.com</t>
  </si>
  <si>
    <t>Marty Williams</t>
  </si>
  <si>
    <t>gmwilliams@astecindustries.com</t>
  </si>
  <si>
    <t>Caleb Wooten</t>
  </si>
  <si>
    <t>cwooten@astecindustries.com</t>
  </si>
  <si>
    <t>Joe Abdelmalak</t>
  </si>
  <si>
    <t>Wago</t>
  </si>
  <si>
    <t>joseph.abdelmalak@wago.com</t>
  </si>
  <si>
    <t>N120 W19129 Freistadt Road / GERMANTOWN WI 53022</t>
  </si>
  <si>
    <t>Michael Aceto</t>
  </si>
  <si>
    <t>Drew Amos</t>
  </si>
  <si>
    <t>drew.amos@wago.com</t>
  </si>
  <si>
    <t>Joyce Anderson</t>
  </si>
  <si>
    <t>joyce.anderson@wago.com</t>
  </si>
  <si>
    <t>Bob Andronowitz</t>
  </si>
  <si>
    <t>robert.andronowitz@wago.com</t>
  </si>
  <si>
    <t>Rick Ayres</t>
  </si>
  <si>
    <t>rick.ayres@wago.com</t>
  </si>
  <si>
    <t>David Bae</t>
  </si>
  <si>
    <t>david.bae@wago.com</t>
  </si>
  <si>
    <t>Kara Bartaszewicz</t>
  </si>
  <si>
    <t>kara.bartaszewicz@wago.com</t>
  </si>
  <si>
    <t>Bill Benito</t>
  </si>
  <si>
    <t>bill.benito@wago.com</t>
  </si>
  <si>
    <t>Sharon Benson</t>
  </si>
  <si>
    <t>sharon.benson@wago.com</t>
  </si>
  <si>
    <t>Ron Bin</t>
  </si>
  <si>
    <t>ron.bin@wago.com</t>
  </si>
  <si>
    <t>'+1 (5196700490)</t>
  </si>
  <si>
    <t>Kurt Braun</t>
  </si>
  <si>
    <t>kurt.braun@wago.com</t>
  </si>
  <si>
    <t>Larry Brick</t>
  </si>
  <si>
    <t>Larry.brick@wago.com</t>
  </si>
  <si>
    <t>Michelle Brown</t>
  </si>
  <si>
    <t>michelle.brown@wago.com</t>
  </si>
  <si>
    <t>'+1 (2624162716)</t>
  </si>
  <si>
    <t>John Bukowski</t>
  </si>
  <si>
    <t>john.bukowski@wago.com</t>
  </si>
  <si>
    <t>Kelly Calderon</t>
  </si>
  <si>
    <t>Kelly.Calderon@wago.com</t>
  </si>
  <si>
    <t>Andy Chesla</t>
  </si>
  <si>
    <t>andy.chesla@wago.com</t>
  </si>
  <si>
    <t>Keith Church</t>
  </si>
  <si>
    <t>keith.church@wago.com</t>
  </si>
  <si>
    <t>'+1 (904) 318-4690</t>
  </si>
  <si>
    <t>Kathy Citraro</t>
  </si>
  <si>
    <t>kathy.citraro@wago.com</t>
  </si>
  <si>
    <t>Aaron Cochran</t>
  </si>
  <si>
    <t>aaron.cochran@wago.com</t>
  </si>
  <si>
    <t>'+1 (262) 622-8753</t>
  </si>
  <si>
    <t>Jesse Cox</t>
  </si>
  <si>
    <t>jesse.cox@wago.com</t>
  </si>
  <si>
    <t>Michael Cuff</t>
  </si>
  <si>
    <t>Michael.cuff@wago.com</t>
  </si>
  <si>
    <t>Phill Dalager</t>
  </si>
  <si>
    <t>Phill.Dalager@wago.com</t>
  </si>
  <si>
    <t>Tony Davila</t>
  </si>
  <si>
    <t>tony.davila@wago.com</t>
  </si>
  <si>
    <t>Mark DeCramer</t>
  </si>
  <si>
    <t>mark.decramer@wago.com</t>
  </si>
  <si>
    <t>Stephanie Demitros</t>
  </si>
  <si>
    <t>stephanie.demitros@wago.com</t>
  </si>
  <si>
    <t>John Ditter</t>
  </si>
  <si>
    <t>John.Ditter@wago.com</t>
  </si>
  <si>
    <t>Christy Drake</t>
  </si>
  <si>
    <t>christina.drake@wago.com</t>
  </si>
  <si>
    <t>Chris Dunlap</t>
  </si>
  <si>
    <t>christian.dunlap@wago.com</t>
  </si>
  <si>
    <t>EMAIL_AB</t>
  </si>
  <si>
    <t>info.us@wago.com</t>
  </si>
  <si>
    <t>Prototype Engineering</t>
  </si>
  <si>
    <t>engineering.us@wago.com</t>
  </si>
  <si>
    <t>Roger Erdely</t>
  </si>
  <si>
    <t>roger.erdely@wago.com</t>
  </si>
  <si>
    <t>'+1 (7249636614)</t>
  </si>
  <si>
    <t>Amanda Farley</t>
  </si>
  <si>
    <t>Amanda.farley@wago.com</t>
  </si>
  <si>
    <t>Scott Fenner</t>
  </si>
  <si>
    <t>scott.fenner@wago.com</t>
  </si>
  <si>
    <t>Amanda Ferguson</t>
  </si>
  <si>
    <t>amanda.ferguson@wago.com</t>
  </si>
  <si>
    <t>Gabriel Fernandez</t>
  </si>
  <si>
    <t>gabriel.fernandez@wago.com</t>
  </si>
  <si>
    <t>Shawn Finley</t>
  </si>
  <si>
    <t>shawn.finley@wago.com</t>
  </si>
  <si>
    <t>Stephen Foster</t>
  </si>
  <si>
    <t>stephen.foster@wago.com</t>
  </si>
  <si>
    <t>Nancy Frank</t>
  </si>
  <si>
    <t>nancy.frank@wago.com</t>
  </si>
  <si>
    <t>Jonathan Gabel</t>
  </si>
  <si>
    <t>jonathan.gabel@wago.com</t>
  </si>
  <si>
    <t>Rob Gaertner</t>
  </si>
  <si>
    <t>rob.gaertner@wago.com</t>
  </si>
  <si>
    <t>Kenneth Gagnon</t>
  </si>
  <si>
    <t>kenneth.gagnon@wago.com</t>
  </si>
  <si>
    <t>'+1 (9135266637)</t>
  </si>
  <si>
    <t>Kellie Galvan</t>
  </si>
  <si>
    <t>kellie.galvan@wago.com</t>
  </si>
  <si>
    <t>Mike Giroux</t>
  </si>
  <si>
    <t>michael.giroux@wago.com</t>
  </si>
  <si>
    <t>Michelle Goeman</t>
  </si>
  <si>
    <t>michelle.goeman@wago.com</t>
  </si>
  <si>
    <t>Daniel Gomez</t>
  </si>
  <si>
    <t>daniel.gomez@wago.com</t>
  </si>
  <si>
    <t>Jeff Govek</t>
  </si>
  <si>
    <t>jeffrey.govek@wago.com</t>
  </si>
  <si>
    <t>Steve Greene</t>
  </si>
  <si>
    <t>steven.greene@wago.com</t>
  </si>
  <si>
    <t>John JMH Hagar</t>
  </si>
  <si>
    <t>john.hagar@wago.com</t>
  </si>
  <si>
    <t>David Harris</t>
  </si>
  <si>
    <t>david.harris@wago.com</t>
  </si>
  <si>
    <t>Kyle Haug</t>
  </si>
  <si>
    <t>kyle.haug@wago.com</t>
  </si>
  <si>
    <t>Amanda Heisdorf</t>
  </si>
  <si>
    <t>amanda.heisdorf@wago.com</t>
  </si>
  <si>
    <t>Jack Hercreg</t>
  </si>
  <si>
    <t>jack.hercreg@wago.com</t>
  </si>
  <si>
    <t>Nick Holzman</t>
  </si>
  <si>
    <t>nicholas.holzman@wago.com</t>
  </si>
  <si>
    <t>Lori Hurlebaus</t>
  </si>
  <si>
    <t>lori.hurlebaus@wago.com</t>
  </si>
  <si>
    <t>Marc Immordino</t>
  </si>
  <si>
    <t>marc.immordino@wago.com</t>
  </si>
  <si>
    <t>'+1 (2622271832)</t>
  </si>
  <si>
    <t>Connor Jaworski</t>
  </si>
  <si>
    <t>Connor.Jaworski@wago.com</t>
  </si>
  <si>
    <t>Karla Jazak</t>
  </si>
  <si>
    <t>karla.jazak@wago.com</t>
  </si>
  <si>
    <t>Chris Jeffcoat</t>
  </si>
  <si>
    <t>chris.jeffcoat@wago.com</t>
  </si>
  <si>
    <t>Jerry Jordan</t>
  </si>
  <si>
    <t>jerry.jordan@wago.com</t>
  </si>
  <si>
    <t>Mark Joseph</t>
  </si>
  <si>
    <t>mark.joseph@wago.com</t>
  </si>
  <si>
    <t>Joe Kain</t>
  </si>
  <si>
    <t>joseph.kain@wago.com</t>
  </si>
  <si>
    <t>John Kenworthy</t>
  </si>
  <si>
    <t>john.kenworthy@wago.com</t>
  </si>
  <si>
    <t>Tom Koehler</t>
  </si>
  <si>
    <t>tom.koehler@wago.com</t>
  </si>
  <si>
    <t>'+1 (513) 543-8884</t>
  </si>
  <si>
    <t>Amanda Kohler</t>
  </si>
  <si>
    <t>amanda.kohler@wago.com</t>
  </si>
  <si>
    <t>Mike Kovac</t>
  </si>
  <si>
    <t>michael.kovac@wago.com</t>
  </si>
  <si>
    <t>Derek Krause</t>
  </si>
  <si>
    <t>derek.krause@wago.com</t>
  </si>
  <si>
    <t>Jeff Kuehn</t>
  </si>
  <si>
    <t>jeff.kuehn@wago.com</t>
  </si>
  <si>
    <t>Eric Langhorst</t>
  </si>
  <si>
    <t>eric.langhorst@wago.com</t>
  </si>
  <si>
    <t>Tracy Lenz</t>
  </si>
  <si>
    <t>tracy.lenz@WAGO.com</t>
  </si>
  <si>
    <t>Brian Ley</t>
  </si>
  <si>
    <t>brian.ley@wago.com</t>
  </si>
  <si>
    <t>'+1 (2155326404)</t>
  </si>
  <si>
    <t>Megan Loop</t>
  </si>
  <si>
    <t>megan.loop@wago.com</t>
  </si>
  <si>
    <t>James Lubow</t>
  </si>
  <si>
    <t>james.lubow@wago.com</t>
  </si>
  <si>
    <t>'+1 (262) 239-3913</t>
  </si>
  <si>
    <t>Katie Lund</t>
  </si>
  <si>
    <t>katie.lund@wago.com</t>
  </si>
  <si>
    <t>Heidi Mattice</t>
  </si>
  <si>
    <t>heidi.mattice@wago.com</t>
  </si>
  <si>
    <t>Mike Metzer</t>
  </si>
  <si>
    <t>mike.metzer@wago.com</t>
  </si>
  <si>
    <t>Amanda Mollet</t>
  </si>
  <si>
    <t>amanda.mollet@wago.com</t>
  </si>
  <si>
    <t>Eric Musso</t>
  </si>
  <si>
    <t>eric.musso@wago.com</t>
  </si>
  <si>
    <t>Ted Naylor</t>
  </si>
  <si>
    <t>ted.naylor@wago.com</t>
  </si>
  <si>
    <t>'+1 (910) 228-4482</t>
  </si>
  <si>
    <t>Barry Nelson</t>
  </si>
  <si>
    <t>barry.nelson@wago.com</t>
  </si>
  <si>
    <t>DJ Niemiec</t>
  </si>
  <si>
    <t>dj.niemiec@wago.com</t>
  </si>
  <si>
    <t>Charlie Norz</t>
  </si>
  <si>
    <t>charlie.norz@wago.com</t>
  </si>
  <si>
    <t>Lucas Nuss</t>
  </si>
  <si>
    <t>lucas.nuss@wago.com</t>
  </si>
  <si>
    <t>Forestt Nye</t>
  </si>
  <si>
    <t>forestt.nye@wago.com</t>
  </si>
  <si>
    <t>Caleb Page</t>
  </si>
  <si>
    <t>caleb.page@wago.com</t>
  </si>
  <si>
    <t>Diane Pena</t>
  </si>
  <si>
    <t>diane.pena@wago.com</t>
  </si>
  <si>
    <t>Robb Perez</t>
  </si>
  <si>
    <t>robert.perez@wago.com</t>
  </si>
  <si>
    <t>Carey Perschke</t>
  </si>
  <si>
    <t>carey.perschke@wago.com</t>
  </si>
  <si>
    <t>Cassie Pipkorn</t>
  </si>
  <si>
    <t>cassie.pipkorn@wago.com</t>
  </si>
  <si>
    <t>Michael Psaltis</t>
  </si>
  <si>
    <t>michael.psaltis@wago.com</t>
  </si>
  <si>
    <t>Jim Ratcliffe</t>
  </si>
  <si>
    <t>jim.ratcliffe@wago.com</t>
  </si>
  <si>
    <t>Tanner Rattray</t>
  </si>
  <si>
    <t>tanner.rattray@wago.com</t>
  </si>
  <si>
    <t>Adam Reeve</t>
  </si>
  <si>
    <t>adam.reeve@wago.com</t>
  </si>
  <si>
    <t>Joe Remisiewicz</t>
  </si>
  <si>
    <t>joe.remisiewicz@wago.com</t>
  </si>
  <si>
    <t>'+1 (5862011318)</t>
  </si>
  <si>
    <t>Brad Rosenberg</t>
  </si>
  <si>
    <t>brad.rosenberg@wago.com</t>
  </si>
  <si>
    <t>'+1 (412) 965-4119</t>
  </si>
  <si>
    <t>Carlos Ruiz</t>
  </si>
  <si>
    <t>carlos.ruiz@wago.com</t>
  </si>
  <si>
    <t>Scott Russell</t>
  </si>
  <si>
    <t>scott.russell@wago.com</t>
  </si>
  <si>
    <t>Corrina Salkeld</t>
  </si>
  <si>
    <t>corrina.salkeld@wago.com</t>
  </si>
  <si>
    <t>Sample Sample</t>
  </si>
  <si>
    <t>samples.us@wago.com</t>
  </si>
  <si>
    <t>Tyler Schara</t>
  </si>
  <si>
    <t>tyler.schara@wago.com</t>
  </si>
  <si>
    <t>Scott Schauer</t>
  </si>
  <si>
    <t>scott.schauer@wago.com</t>
  </si>
  <si>
    <t>Kari Schiereck</t>
  </si>
  <si>
    <t>kari.schiereck@wago.com</t>
  </si>
  <si>
    <t>Jason Schmid</t>
  </si>
  <si>
    <t>jason.schmid@wago.com</t>
  </si>
  <si>
    <t>Kathy Schmitt</t>
  </si>
  <si>
    <t>kathy.schmitt@wago.com</t>
  </si>
  <si>
    <t>Tom Schwarz</t>
  </si>
  <si>
    <t>tom.schwarz@wago.com</t>
  </si>
  <si>
    <t>'+1 (610) 613-0152</t>
  </si>
  <si>
    <t>Don Scott</t>
  </si>
  <si>
    <t>don.scott@wago.com</t>
  </si>
  <si>
    <t>'+1 (916) 792-6327</t>
  </si>
  <si>
    <t>Brad Sedoris</t>
  </si>
  <si>
    <t>bradley.sedoris@wago.com</t>
  </si>
  <si>
    <t>Troy Sensing</t>
  </si>
  <si>
    <t>troy.sensing@wago.com</t>
  </si>
  <si>
    <t>Matt (Matthew) Setzler</t>
  </si>
  <si>
    <t>Matt.Setzler@wago.com</t>
  </si>
  <si>
    <t>'+1 (909) 362-7115</t>
  </si>
  <si>
    <t>Kelby Seyl</t>
  </si>
  <si>
    <t>kelby.seyl@wago.com</t>
  </si>
  <si>
    <t>Mark Shirley</t>
  </si>
  <si>
    <t>mark.shirley@wago.com</t>
  </si>
  <si>
    <t>'+1 (803) 517-7961</t>
  </si>
  <si>
    <t>Tony Silvestri</t>
  </si>
  <si>
    <t>tony.silvestri@wago.com</t>
  </si>
  <si>
    <t>'+1 (973) 224-2421</t>
  </si>
  <si>
    <t>Jon Stangel</t>
  </si>
  <si>
    <t>jon.stangel@wago.com</t>
  </si>
  <si>
    <t>Hana Staub</t>
  </si>
  <si>
    <t>hana.staub@wago.com</t>
  </si>
  <si>
    <t>Kevin Stevenson</t>
  </si>
  <si>
    <t>kevin.stevenson@wago.com</t>
  </si>
  <si>
    <t>Joe Stirpe</t>
  </si>
  <si>
    <t>joe.stirpe@wago.com</t>
  </si>
  <si>
    <t>Scott Stocking</t>
  </si>
  <si>
    <t>scott.stocking@wago.com</t>
  </si>
  <si>
    <t>Dirk Tepp</t>
  </si>
  <si>
    <t>dirk.tepp@wago.com</t>
  </si>
  <si>
    <t>'+1 (231) 750-0581</t>
  </si>
  <si>
    <t>Cory Thiel</t>
  </si>
  <si>
    <t>cory.thiel@wago.com</t>
  </si>
  <si>
    <t>Tyler Thomann</t>
  </si>
  <si>
    <t>tyler.thomann@wago.com</t>
  </si>
  <si>
    <t>Toby Thomann</t>
  </si>
  <si>
    <t>toby.thomann@wago.com</t>
  </si>
  <si>
    <t>Tyfani Ulicki</t>
  </si>
  <si>
    <t>tyfani.ulicki@wago.com</t>
  </si>
  <si>
    <t>Bart Van Zandbergen</t>
  </si>
  <si>
    <t>Keith Vangilder</t>
  </si>
  <si>
    <t>keith.vangilder@wago.com</t>
  </si>
  <si>
    <t>S Vergara</t>
  </si>
  <si>
    <t>Jessica Viola</t>
  </si>
  <si>
    <t>jessica.viola@wago.com</t>
  </si>
  <si>
    <t>Nick Voss</t>
  </si>
  <si>
    <t>nick.voss@wago.com</t>
  </si>
  <si>
    <t>Sean Voves</t>
  </si>
  <si>
    <t>Sean.Voves@wago.com</t>
  </si>
  <si>
    <t>Marcus Vuk</t>
  </si>
  <si>
    <t>marcus.vuk@wago.com</t>
  </si>
  <si>
    <t>Peter Wambach</t>
  </si>
  <si>
    <t>peter.wambach@wago.com</t>
  </si>
  <si>
    <t>Tiffany Weske</t>
  </si>
  <si>
    <t>tiffany.weske@wago.com</t>
  </si>
  <si>
    <t>Clayton Windsor</t>
  </si>
  <si>
    <t>clayton.windsor@wago.com</t>
  </si>
  <si>
    <t>Jeff Wittorf</t>
  </si>
  <si>
    <t>jeff.wittorf@wago.com</t>
  </si>
  <si>
    <t>Danny Woodlief</t>
  </si>
  <si>
    <t>danny.woodlief@wago.com</t>
  </si>
  <si>
    <t>John Wozniak, P.E.</t>
  </si>
  <si>
    <t>john.wozniak@wago.com</t>
  </si>
  <si>
    <t>'+1 (262) 402-7848</t>
  </si>
  <si>
    <t>Jerry Yang</t>
  </si>
  <si>
    <t>jerry.yang@wago.com</t>
  </si>
  <si>
    <t>Dominique York</t>
  </si>
  <si>
    <t>dominique.york@wago.com</t>
  </si>
  <si>
    <t>Jeff Zimmerman</t>
  </si>
  <si>
    <t>jeff.zimmerman@wago.com</t>
  </si>
  <si>
    <t>Marcus Denton</t>
  </si>
  <si>
    <t>Mesa Associates, Inc. - Machine Group</t>
  </si>
  <si>
    <t>mdenton@mesainc.com</t>
  </si>
  <si>
    <t>'+1 (865) 218-5226</t>
  </si>
  <si>
    <t>720 Simmons Road / Knoxville TN 37932</t>
  </si>
  <si>
    <t>Ryan Noland</t>
  </si>
  <si>
    <t>rnoland@mesainc.com</t>
  </si>
  <si>
    <t>Narciso Sanchez</t>
  </si>
  <si>
    <t>nsanchez@mesainc.com</t>
  </si>
  <si>
    <t>Elliott Carota</t>
  </si>
  <si>
    <t>Elliott.Carota@trane.com</t>
  </si>
  <si>
    <t>Rudy Cervantes</t>
  </si>
  <si>
    <t>Rudy.Cervantes@tranetechnologies.com</t>
  </si>
  <si>
    <t>Stephen McKinley</t>
  </si>
  <si>
    <t>Stephen.McKinley@tranetechnologies.com</t>
  </si>
  <si>
    <t>Jarres Plummer</t>
  </si>
  <si>
    <t>Jarres.Plummer@tranetechnologies.com</t>
  </si>
  <si>
    <t>Roy Robinson</t>
  </si>
  <si>
    <t>Roy.Robinson@trane.com</t>
  </si>
  <si>
    <t>Darrell Shelton</t>
  </si>
  <si>
    <t>Darrell.Shelton@tranetechnologies.com</t>
  </si>
  <si>
    <t>Matt Light</t>
  </si>
  <si>
    <t>SET Automation</t>
  </si>
  <si>
    <t>mlight@set-automation.com</t>
  </si>
  <si>
    <t>1156 Park Avenue / Murfreesboro TN 37129</t>
  </si>
  <si>
    <t>Ryan Miller</t>
  </si>
  <si>
    <t>rmiller@set-automation.com</t>
  </si>
  <si>
    <t>Keith Richardson</t>
  </si>
  <si>
    <t>krichardson@set-automation.com</t>
  </si>
  <si>
    <t>Justin Richey</t>
  </si>
  <si>
    <t>jrichey@set-automation.com</t>
  </si>
  <si>
    <t>Todd Rodewald</t>
  </si>
  <si>
    <t>trodewald@set-automation.com</t>
  </si>
  <si>
    <t>Dustin Steele</t>
  </si>
  <si>
    <t>dsteele@set-automation.com</t>
  </si>
  <si>
    <t>Evan Steele</t>
  </si>
  <si>
    <t>240 Airport Rd / Gallatin TN 37066</t>
  </si>
  <si>
    <t>Hunter Wooden</t>
  </si>
  <si>
    <t>George Davy</t>
  </si>
  <si>
    <t>Jr Automation</t>
  </si>
  <si>
    <t>george.davy@jrautomation.com</t>
  </si>
  <si>
    <t>'+1 (615) 218-9952</t>
  </si>
  <si>
    <t>Stephen Barlock</t>
  </si>
  <si>
    <t>AUTOMATED FENESTRATION</t>
  </si>
  <si>
    <t>sbarlock@automatedfenestration.com</t>
  </si>
  <si>
    <t>12833 SIMMS AVE / HAWTHORNE CA 90250</t>
  </si>
  <si>
    <t>Jacob Cato</t>
  </si>
  <si>
    <t>jcato@automatedfenestration.com</t>
  </si>
  <si>
    <t>'+1 (323) 756-9090</t>
  </si>
  <si>
    <t>and Gentlemen EMAIL_RE</t>
  </si>
  <si>
    <t>bbielak@fenestration.net</t>
  </si>
  <si>
    <t>Kathleen Howlett</t>
  </si>
  <si>
    <t>khowlett@fenestration.net</t>
  </si>
  <si>
    <t>Robert Renner</t>
  </si>
  <si>
    <t>RRenner@fenestration.net</t>
  </si>
  <si>
    <t>Jim Roberts</t>
  </si>
  <si>
    <t>jroberts@fenestration.net</t>
  </si>
  <si>
    <t>'+1 (262) 844-6147</t>
  </si>
  <si>
    <t>Walter Rodriguez</t>
  </si>
  <si>
    <t>wrodriguez@automatedfenestration.com</t>
  </si>
  <si>
    <t>'+1 (323) 600-5333</t>
  </si>
  <si>
    <t>Kevin Sanders</t>
  </si>
  <si>
    <t>ksanders@automatedfenestration.com</t>
  </si>
  <si>
    <t>'+1 (424) 391-0705</t>
  </si>
  <si>
    <t>Daniela Sisneros</t>
  </si>
  <si>
    <t>DSisneros@AutomatedFenestration.com</t>
  </si>
  <si>
    <t>Aldo Trinidad</t>
  </si>
  <si>
    <t>ATrinidad@automatedFenestration.com</t>
  </si>
  <si>
    <t>Tracy Hatchel</t>
  </si>
  <si>
    <t xml:space="preserve">WEGMANN </t>
  </si>
  <si>
    <t>thatchel@comcast.net</t>
  </si>
  <si>
    <t>1715 Joe B Jackson Pkwy / Murfreesboro TN 37127</t>
  </si>
  <si>
    <t>Will Morris</t>
  </si>
  <si>
    <t>oneeyegone@gmail.com</t>
  </si>
  <si>
    <t>chippin72@gmail.com</t>
  </si>
  <si>
    <t>Luke McCulley</t>
  </si>
  <si>
    <t>One Off Robotics</t>
  </si>
  <si>
    <t>luke@oneoffrobotics.com</t>
  </si>
  <si>
    <t>'+1 (423) 762 1020</t>
  </si>
  <si>
    <t>100 Cherokee Blvd. STE 328 / Chattanooga TN 37405</t>
  </si>
  <si>
    <t>Joe Davis</t>
  </si>
  <si>
    <t>Mesa Inc</t>
  </si>
  <si>
    <t>jedavis@mesainc.com</t>
  </si>
  <si>
    <t>Wayne Allison</t>
  </si>
  <si>
    <t>wallison@mesainc.com</t>
  </si>
  <si>
    <t>Eddie Zekich</t>
  </si>
  <si>
    <t>ezekich@mesainc.com</t>
  </si>
  <si>
    <t>Adam Nelson</t>
  </si>
  <si>
    <t>SolVIS Automation</t>
  </si>
  <si>
    <t>adam@solvisautomation.com</t>
  </si>
  <si>
    <t>1709 Midpark Rd Ste. 101 / Knoxville TN 37921</t>
  </si>
  <si>
    <t>Jon Osborne</t>
  </si>
  <si>
    <t>jon@solvisautomation.com</t>
  </si>
  <si>
    <t>Chris Humphries</t>
  </si>
  <si>
    <t>Pro Charging Systems</t>
  </si>
  <si>
    <t>chumphries@pcsdv.com</t>
  </si>
  <si>
    <t>1551 Heil Quaker Blvd / LaVergne TN 37086</t>
  </si>
  <si>
    <t>Josh Ramsey</t>
  </si>
  <si>
    <t>jramsey@pcsdv.com</t>
  </si>
  <si>
    <t>Jeremy Arnold</t>
  </si>
  <si>
    <t>ICSI</t>
  </si>
  <si>
    <t>jeremy.arnold@goicsi.com</t>
  </si>
  <si>
    <t>170 Jefferson Pike D / LaVergne TN 37086</t>
  </si>
  <si>
    <t>Stephen Claycomb</t>
  </si>
  <si>
    <t>stephen.claycomb@goicsi.com</t>
  </si>
  <si>
    <t>Eric Gardner</t>
  </si>
  <si>
    <t>eric.gardner@goicsi.com</t>
  </si>
  <si>
    <t>'+1 (615) 850-6986</t>
  </si>
  <si>
    <t>Hiram Gonzales</t>
  </si>
  <si>
    <t>Austin Harrington</t>
  </si>
  <si>
    <t>Robert Maurer</t>
  </si>
  <si>
    <t>robert.maurer@goicsi.com</t>
  </si>
  <si>
    <t>Nancy Norris</t>
  </si>
  <si>
    <t>nancy.norris@goicsi.com</t>
  </si>
  <si>
    <t>'+1 (615) 856-1934</t>
  </si>
  <si>
    <t>Rob Pfund</t>
  </si>
  <si>
    <t>rob.pfund@goicsi.com</t>
  </si>
  <si>
    <t>James Singleton</t>
  </si>
  <si>
    <t>james.singleton@goicsi.com</t>
  </si>
  <si>
    <t>'+1 (615) 653-3252</t>
  </si>
  <si>
    <t>Joe Thatcher</t>
  </si>
  <si>
    <t>jthatcher@set-automation.com</t>
  </si>
  <si>
    <t>'+1 (615) 496-7028</t>
  </si>
  <si>
    <t>Eric Hamby</t>
  </si>
  <si>
    <t>TVA Fort Loudon</t>
  </si>
  <si>
    <t>7505492 </t>
  </si>
  <si>
    <t>1280 City Park Drive / Lenoir City TN 37772</t>
  </si>
  <si>
    <t>Michael Light</t>
  </si>
  <si>
    <t>Jeff Mcbehec</t>
  </si>
  <si>
    <t>Matthew Morelack</t>
  </si>
  <si>
    <t>Li Sheng Pan</t>
  </si>
  <si>
    <t>Lynn Phillips</t>
  </si>
  <si>
    <t>John Stout</t>
  </si>
  <si>
    <t>Danny Turner</t>
  </si>
  <si>
    <t>Noah Dixon</t>
  </si>
  <si>
    <t xml:space="preserve">ICSI </t>
  </si>
  <si>
    <t>Bruce Jones</t>
  </si>
  <si>
    <t>Jeff Mandrell</t>
  </si>
  <si>
    <t>Jack Nawiesmiak</t>
  </si>
  <si>
    <t>Kim Alt</t>
  </si>
  <si>
    <t>Bertelkamp</t>
  </si>
  <si>
    <t>kalt@bertelkamp.com</t>
  </si>
  <si>
    <t>P.O. BOX 11488 / KNOXVILLE TN 37939-1488</t>
  </si>
  <si>
    <t>Tyler Bailes</t>
  </si>
  <si>
    <t>tbailes@bertelkamp.com</t>
  </si>
  <si>
    <t>Casey Bailes</t>
  </si>
  <si>
    <t>cbailes@bertelkamp.com</t>
  </si>
  <si>
    <t>Bert Bertelkamp</t>
  </si>
  <si>
    <t>bbertelkamp@bertelkamp.com</t>
  </si>
  <si>
    <t>Todd Bost</t>
  </si>
  <si>
    <t>tbost@bertelkamp.com</t>
  </si>
  <si>
    <t>Kelley Brandt</t>
  </si>
  <si>
    <t>kbrandt@bertelkamp.com</t>
  </si>
  <si>
    <t>Katie Cannon</t>
  </si>
  <si>
    <t>kcannon@bertelkamp.com</t>
  </si>
  <si>
    <t>Peggy Davis</t>
  </si>
  <si>
    <t>pdavis@bertelkamp.com</t>
  </si>
  <si>
    <t>Jeff Denney</t>
  </si>
  <si>
    <t>jdenney@bertelkamp.com</t>
  </si>
  <si>
    <t>Beverly Dingledine</t>
  </si>
  <si>
    <t>bdingledine@bertelkamp.com</t>
  </si>
  <si>
    <t>Tom Dolby</t>
  </si>
  <si>
    <t>tdolby@bertelkamp.com</t>
  </si>
  <si>
    <t>'+1 (704) 989-1219</t>
  </si>
  <si>
    <t>Randy Dyer</t>
  </si>
  <si>
    <t>rdyer@bertelkamp.com</t>
  </si>
  <si>
    <t>Barbara Dyer</t>
  </si>
  <si>
    <t>bdyer@bertelkamp.com</t>
  </si>
  <si>
    <t>Jim Eller</t>
  </si>
  <si>
    <t>jeller@bertelkamp.com</t>
  </si>
  <si>
    <t>'+1 (864) 525-7056</t>
  </si>
  <si>
    <t>Derrick Ellerman</t>
  </si>
  <si>
    <t>dellerman@bertelkamp.com</t>
  </si>
  <si>
    <t>'+1 (678) 313-5181</t>
  </si>
  <si>
    <t>and Gentlemen EMAIL_AB</t>
  </si>
  <si>
    <t>EMAIL_RE</t>
  </si>
  <si>
    <t>invoices@bertelkamp.com</t>
  </si>
  <si>
    <t>Chase Falcon</t>
  </si>
  <si>
    <t>cfalcon@bertelkamp.com</t>
  </si>
  <si>
    <t>Matt Faust</t>
  </si>
  <si>
    <t>mfaust@bertelkamp.com</t>
  </si>
  <si>
    <t>'+1 (865) 567-2493</t>
  </si>
  <si>
    <t>Tanya Favors</t>
  </si>
  <si>
    <t>tfavors@bertelkamp.com</t>
  </si>
  <si>
    <t>Scott Fowlston</t>
  </si>
  <si>
    <t>sfowlston@bertelkamp.com</t>
  </si>
  <si>
    <t>Jill Hall</t>
  </si>
  <si>
    <t>jhall@bertelkamp.com</t>
  </si>
  <si>
    <t>Eric Hanson</t>
  </si>
  <si>
    <t>ehanson@bertelkamp.com</t>
  </si>
  <si>
    <t>Kasey Harbuck</t>
  </si>
  <si>
    <t>kharbuck@bertelkamp.com</t>
  </si>
  <si>
    <t>Scott Hornsby</t>
  </si>
  <si>
    <t>shornsby@bertelkamp.com</t>
  </si>
  <si>
    <t>'+1 (803) 530-8667</t>
  </si>
  <si>
    <t>Michael Horsley</t>
  </si>
  <si>
    <t>mhorsley@bertelkamp.com</t>
  </si>
  <si>
    <t>Mary Kerley</t>
  </si>
  <si>
    <t>mkerley@bertelkamp.com</t>
  </si>
  <si>
    <t>Brad Klena</t>
  </si>
  <si>
    <t>bklena@bertelkamp.com</t>
  </si>
  <si>
    <t>Neil Koepke</t>
  </si>
  <si>
    <t>nkoepke@bertelkamp.com</t>
  </si>
  <si>
    <t>Sheri Lockett</t>
  </si>
  <si>
    <t>slockett@bertelkamp.com</t>
  </si>
  <si>
    <t>David Long</t>
  </si>
  <si>
    <t>dlong@bertelkamp.com</t>
  </si>
  <si>
    <t>'+1 (864) 419-7333</t>
  </si>
  <si>
    <t>Dave Mactavish</t>
  </si>
  <si>
    <t>dmactavish@bertelkamp.com</t>
  </si>
  <si>
    <t>Kim Marcum</t>
  </si>
  <si>
    <t>kmarcum@bertelkamp.com</t>
  </si>
  <si>
    <t>Michael McGaha</t>
  </si>
  <si>
    <t>mmcgaha@bertelkamp.com</t>
  </si>
  <si>
    <t>Heidi Mcintosh</t>
  </si>
  <si>
    <t>hmcintosh@bertelkamp.com</t>
  </si>
  <si>
    <t>Rhonda Mills</t>
  </si>
  <si>
    <t>rmills@bertelkamp.com</t>
  </si>
  <si>
    <t>Ashley Owen</t>
  </si>
  <si>
    <t>aowen@bertelkamp.com</t>
  </si>
  <si>
    <t>Mark Paschall</t>
  </si>
  <si>
    <t>mpaschall@bertelkamp.com</t>
  </si>
  <si>
    <t>'+1 (704) 651-5600</t>
  </si>
  <si>
    <t>Jacob Petree</t>
  </si>
  <si>
    <t>Jpetree@bertelkamp.com</t>
  </si>
  <si>
    <t>Daniel Prather</t>
  </si>
  <si>
    <t>dprather@bertelkamp.com</t>
  </si>
  <si>
    <t>Ryan Pugh</t>
  </si>
  <si>
    <t>Rpugh@bertelkamp.com</t>
  </si>
  <si>
    <t>Todd Pugh</t>
  </si>
  <si>
    <t>tpugh@bertelkamp.com</t>
  </si>
  <si>
    <t>'+1 (865) 712-0488</t>
  </si>
  <si>
    <t>Ken Rickenbrode</t>
  </si>
  <si>
    <t>krickenbrode@bertelkamp.com</t>
  </si>
  <si>
    <t>'+1 (423) 773-5421</t>
  </si>
  <si>
    <t>Chris Ritchey</t>
  </si>
  <si>
    <t>critchey@bertelkamp.com</t>
  </si>
  <si>
    <t>'+1 (865) 617-9184</t>
  </si>
  <si>
    <t>Brennen Ryan</t>
  </si>
  <si>
    <t>bryan@bertelkamp.com</t>
  </si>
  <si>
    <t>Pablo Salazar</t>
  </si>
  <si>
    <t>jsalazar@bertelkamp.com</t>
  </si>
  <si>
    <t>Kent Smith</t>
  </si>
  <si>
    <t>ksmith@bertelkamp.com</t>
  </si>
  <si>
    <t>Garrett Smith</t>
  </si>
  <si>
    <t>gsmith@bertelkamp.com</t>
  </si>
  <si>
    <t>Kathleen Spurlock</t>
  </si>
  <si>
    <t>kspurlock@bertelkamp.com</t>
  </si>
  <si>
    <t>Melissa Tassell</t>
  </si>
  <si>
    <t>mtassell@bertelkamp.com</t>
  </si>
  <si>
    <t>Tim Taylor</t>
  </si>
  <si>
    <t>ttaylor@bertelkamp.com</t>
  </si>
  <si>
    <t>Sean Thomas</t>
  </si>
  <si>
    <t>sthomas@bertelkamp.com</t>
  </si>
  <si>
    <t>Bruce Thompson</t>
  </si>
  <si>
    <t>bthompson@bertelkamp.com</t>
  </si>
  <si>
    <t>'+1 (865) 556-2497</t>
  </si>
  <si>
    <t>Ethan Watters</t>
  </si>
  <si>
    <t>ewatters@bertelkamp.com</t>
  </si>
  <si>
    <t>Glenda West</t>
  </si>
  <si>
    <t>gwest@bertelkamp.com</t>
  </si>
  <si>
    <t>Mark Wilkerson</t>
  </si>
  <si>
    <t>mwilkerson@bertelkamp.com</t>
  </si>
  <si>
    <t>'+1 (336) 314-4350</t>
  </si>
  <si>
    <t>David Nordgren</t>
  </si>
  <si>
    <t>dnordgren@tritium.com.au</t>
  </si>
  <si>
    <t>Karen Smetzer</t>
  </si>
  <si>
    <t>ksmetzer@tritium.com.au</t>
  </si>
  <si>
    <t>1420 Toshiba Drive / Lebanon TN 37087</t>
  </si>
  <si>
    <t>Patrick Smith</t>
  </si>
  <si>
    <t>psmith@tritium.com</t>
  </si>
  <si>
    <t>Nathan Copeland</t>
  </si>
  <si>
    <t>nathan.copeland@goicsi.com</t>
  </si>
  <si>
    <t>Sean Palka</t>
  </si>
  <si>
    <t>sean.palka@jrautomation.com</t>
  </si>
  <si>
    <t>Dale Overdorf</t>
  </si>
  <si>
    <t>Jesse Toland</t>
  </si>
  <si>
    <t>Cognex</t>
  </si>
  <si>
    <t>jesse.toland@cognex.com</t>
  </si>
  <si>
    <t>Anthony Dillson</t>
  </si>
  <si>
    <t xml:space="preserve">Tuftco </t>
  </si>
  <si>
    <t>adillson@tuftco.com</t>
  </si>
  <si>
    <t>2318 S Holtzclaw Ave / Chattanooga TN 37408</t>
  </si>
  <si>
    <t>Ben Nelson</t>
  </si>
  <si>
    <t>bnelson@tuftco.com</t>
  </si>
  <si>
    <t>Isaac Wheat</t>
  </si>
  <si>
    <t>iwheat@tuftco.com</t>
  </si>
  <si>
    <t>John York</t>
  </si>
  <si>
    <t>jyork@tuftco.com</t>
  </si>
  <si>
    <t>Elliott</t>
  </si>
  <si>
    <t>Rudy</t>
  </si>
  <si>
    <t>Stephen</t>
  </si>
  <si>
    <t>Jarres</t>
  </si>
  <si>
    <t>Roy</t>
  </si>
  <si>
    <t>Darrell</t>
  </si>
  <si>
    <t>Carota</t>
  </si>
  <si>
    <t>Matt</t>
  </si>
  <si>
    <t>Cervantes</t>
  </si>
  <si>
    <t>Ryan</t>
  </si>
  <si>
    <t>McKinley</t>
  </si>
  <si>
    <t>Keith</t>
  </si>
  <si>
    <t>Plummer</t>
  </si>
  <si>
    <t>Justin</t>
  </si>
  <si>
    <t>Robinson</t>
  </si>
  <si>
    <t>Todd</t>
  </si>
  <si>
    <t>Shelton</t>
  </si>
  <si>
    <t>Dustin</t>
  </si>
  <si>
    <t>Light</t>
  </si>
  <si>
    <t>Evan</t>
  </si>
  <si>
    <t>Miller</t>
  </si>
  <si>
    <t>Hunter</t>
  </si>
  <si>
    <t>Richardson</t>
  </si>
  <si>
    <t>George</t>
  </si>
  <si>
    <t>Richey</t>
  </si>
  <si>
    <t>Rodewald</t>
  </si>
  <si>
    <t>Jacob</t>
  </si>
  <si>
    <t>Steele</t>
  </si>
  <si>
    <t>and</t>
  </si>
  <si>
    <t>Kathleen</t>
  </si>
  <si>
    <t>Wooden</t>
  </si>
  <si>
    <t>Robert</t>
  </si>
  <si>
    <t>Bromenshenkel</t>
  </si>
  <si>
    <t>Jim</t>
  </si>
  <si>
    <t>Davy</t>
  </si>
  <si>
    <t>Walter</t>
  </si>
  <si>
    <t>Barlock</t>
  </si>
  <si>
    <t>Kevin</t>
  </si>
  <si>
    <t>Cato</t>
  </si>
  <si>
    <t>Daniela</t>
  </si>
  <si>
    <t>Gentlemen EMAIL_RE</t>
  </si>
  <si>
    <t>Aldo</t>
  </si>
  <si>
    <t>Howlett</t>
  </si>
  <si>
    <t>Tracy</t>
  </si>
  <si>
    <t>Renner</t>
  </si>
  <si>
    <t>Will</t>
  </si>
  <si>
    <t>Roberts</t>
  </si>
  <si>
    <t>Chris</t>
  </si>
  <si>
    <t>Rodriguez</t>
  </si>
  <si>
    <t>Luke</t>
  </si>
  <si>
    <t>Sanders</t>
  </si>
  <si>
    <t>Joe</t>
  </si>
  <si>
    <t>Wayne</t>
  </si>
  <si>
    <t>Eddie</t>
  </si>
  <si>
    <t>Adam</t>
  </si>
  <si>
    <t>Morris</t>
  </si>
  <si>
    <t>Jon</t>
  </si>
  <si>
    <t>Phillips</t>
  </si>
  <si>
    <t>Humphries</t>
  </si>
  <si>
    <t>Josh</t>
  </si>
  <si>
    <t>Ramsey</t>
  </si>
  <si>
    <t>Jeremy</t>
  </si>
  <si>
    <t>Arnold</t>
  </si>
  <si>
    <t>Claycomb</t>
  </si>
  <si>
    <t>Eric</t>
  </si>
  <si>
    <t>Gardner</t>
  </si>
  <si>
    <t>Hiram</t>
  </si>
  <si>
    <t>Gonzales</t>
  </si>
  <si>
    <t>Austin</t>
  </si>
  <si>
    <t>Harrington</t>
  </si>
  <si>
    <t>Maurer</t>
  </si>
  <si>
    <t>Nancy</t>
  </si>
  <si>
    <t>Norris</t>
  </si>
  <si>
    <t>Rob</t>
  </si>
  <si>
    <t>Pfund</t>
  </si>
  <si>
    <t>James</t>
  </si>
  <si>
    <t>Singleton</t>
  </si>
  <si>
    <t>Thatcher</t>
  </si>
  <si>
    <t>Hamby</t>
  </si>
  <si>
    <t>Michael</t>
  </si>
  <si>
    <t>Jeff</t>
  </si>
  <si>
    <t>Mcbehec</t>
  </si>
  <si>
    <t>Matthew</t>
  </si>
  <si>
    <t>Morelack</t>
  </si>
  <si>
    <t>Li</t>
  </si>
  <si>
    <t>Sheng Pan</t>
  </si>
  <si>
    <t>Lynn</t>
  </si>
  <si>
    <t>John</t>
  </si>
  <si>
    <t>Stout</t>
  </si>
  <si>
    <t>Danny</t>
  </si>
  <si>
    <t>Turner</t>
  </si>
  <si>
    <t>Noah</t>
  </si>
  <si>
    <t>Dixon</t>
  </si>
  <si>
    <t>Bruce</t>
  </si>
  <si>
    <t>Jones</t>
  </si>
  <si>
    <t>Mandrell</t>
  </si>
  <si>
    <t>Jack</t>
  </si>
  <si>
    <t>Nawiesmiak</t>
  </si>
  <si>
    <t>Kim</t>
  </si>
  <si>
    <t>Alt</t>
  </si>
  <si>
    <t>Tyler</t>
  </si>
  <si>
    <t>Bailes</t>
  </si>
  <si>
    <t>Casey</t>
  </si>
  <si>
    <t>Bert</t>
  </si>
  <si>
    <t>Bost</t>
  </si>
  <si>
    <t>Kelley</t>
  </si>
  <si>
    <t>Brandt</t>
  </si>
  <si>
    <t>Katie</t>
  </si>
  <si>
    <t>Cannon</t>
  </si>
  <si>
    <t>Peggy</t>
  </si>
  <si>
    <t>Davis</t>
  </si>
  <si>
    <t>Denney</t>
  </si>
  <si>
    <t>Beverly</t>
  </si>
  <si>
    <t>Dingledine</t>
  </si>
  <si>
    <t>Tom</t>
  </si>
  <si>
    <t>Dolby</t>
  </si>
  <si>
    <t>Randy</t>
  </si>
  <si>
    <t>Dyer</t>
  </si>
  <si>
    <t>Barbara</t>
  </si>
  <si>
    <t>Eller</t>
  </si>
  <si>
    <t>Derrick</t>
  </si>
  <si>
    <t>Ellerman</t>
  </si>
  <si>
    <t>Gentlemen EMAIL_AB</t>
  </si>
  <si>
    <t>Chase</t>
  </si>
  <si>
    <t>Falcon</t>
  </si>
  <si>
    <t>Faust</t>
  </si>
  <si>
    <t>Tanya</t>
  </si>
  <si>
    <t>Favors</t>
  </si>
  <si>
    <t>Fowlston</t>
  </si>
  <si>
    <t>Jill</t>
  </si>
  <si>
    <t>Hall</t>
  </si>
  <si>
    <t>Hanson</t>
  </si>
  <si>
    <t>Kasey</t>
  </si>
  <si>
    <t>Harbuck</t>
  </si>
  <si>
    <t>Hornsby</t>
  </si>
  <si>
    <t>Horsley</t>
  </si>
  <si>
    <t>Mary</t>
  </si>
  <si>
    <t>Kerley</t>
  </si>
  <si>
    <t>Brad</t>
  </si>
  <si>
    <t>Klena</t>
  </si>
  <si>
    <t>Neil</t>
  </si>
  <si>
    <t>Koepke</t>
  </si>
  <si>
    <t>Sheri</t>
  </si>
  <si>
    <t>Lockett</t>
  </si>
  <si>
    <t>David</t>
  </si>
  <si>
    <t>Long</t>
  </si>
  <si>
    <t>Dave</t>
  </si>
  <si>
    <t>Mactavish</t>
  </si>
  <si>
    <t>Marcum</t>
  </si>
  <si>
    <t>McGaha</t>
  </si>
  <si>
    <t>Heidi</t>
  </si>
  <si>
    <t>Mcintosh</t>
  </si>
  <si>
    <t>Rhonda</t>
  </si>
  <si>
    <t>Mills</t>
  </si>
  <si>
    <t>Ashley</t>
  </si>
  <si>
    <t>Owen</t>
  </si>
  <si>
    <t>Mark</t>
  </si>
  <si>
    <t>Paschall</t>
  </si>
  <si>
    <t>Petree</t>
  </si>
  <si>
    <t>Daniel</t>
  </si>
  <si>
    <t>Prather</t>
  </si>
  <si>
    <t>Pugh</t>
  </si>
  <si>
    <t>Ken</t>
  </si>
  <si>
    <t>Rickenbrode</t>
  </si>
  <si>
    <t>Ritchey</t>
  </si>
  <si>
    <t>Brennen</t>
  </si>
  <si>
    <t>Pablo</t>
  </si>
  <si>
    <t>Salazar</t>
  </si>
  <si>
    <t>Kent</t>
  </si>
  <si>
    <t>Smith</t>
  </si>
  <si>
    <t>Garrett</t>
  </si>
  <si>
    <t>Spurlock</t>
  </si>
  <si>
    <t>Melissa</t>
  </si>
  <si>
    <t>Tassell</t>
  </si>
  <si>
    <t>Tim</t>
  </si>
  <si>
    <t>Taylor</t>
  </si>
  <si>
    <t>Sean</t>
  </si>
  <si>
    <t>Thomas</t>
  </si>
  <si>
    <t>Thompson</t>
  </si>
  <si>
    <t>Ethan</t>
  </si>
  <si>
    <t>Watters</t>
  </si>
  <si>
    <t>Glenda</t>
  </si>
  <si>
    <t>West</t>
  </si>
  <si>
    <t>Wilkerson</t>
  </si>
  <si>
    <t>Nordgren</t>
  </si>
  <si>
    <t>Karen</t>
  </si>
  <si>
    <t>Smetzer</t>
  </si>
  <si>
    <t>Patrick</t>
  </si>
  <si>
    <t>Nathan</t>
  </si>
  <si>
    <t>Copeland</t>
  </si>
  <si>
    <t>750 IO vs AB</t>
  </si>
  <si>
    <t>020922</t>
  </si>
  <si>
    <t xml:space="preserve">first real IO opportunity at ATC. This is small. Two panels </t>
  </si>
  <si>
    <t>IO Solution Conversion</t>
  </si>
  <si>
    <t>02092022</t>
  </si>
  <si>
    <t>none</t>
  </si>
  <si>
    <t>Dusty</t>
  </si>
  <si>
    <t>750 Conversion</t>
  </si>
  <si>
    <t>03092022</t>
  </si>
  <si>
    <t>IO conversion</t>
  </si>
  <si>
    <t>Greentech inline 221</t>
  </si>
  <si>
    <t>03102022</t>
  </si>
  <si>
    <t>03122022</t>
  </si>
  <si>
    <t>printer help</t>
  </si>
  <si>
    <t>03142022</t>
  </si>
  <si>
    <t>ECB Usage</t>
  </si>
  <si>
    <t>03182022</t>
  </si>
  <si>
    <t>Overview of ECB products.</t>
  </si>
  <si>
    <t>750 Lead Times for Tri-Phase</t>
  </si>
  <si>
    <t>Printer Software Setup &amp; Training</t>
  </si>
  <si>
    <t>03212022</t>
  </si>
  <si>
    <t>Premier RFQ</t>
  </si>
  <si>
    <t>03222022</t>
  </si>
  <si>
    <t>Chromolox Discussion</t>
  </si>
  <si>
    <t>221 Inline Sample</t>
  </si>
  <si>
    <t>03252022</t>
  </si>
  <si>
    <t xml:space="preserve">sent Sam a sample of our 221. He would like a 221 inline that is 2-to-2. </t>
  </si>
  <si>
    <t>221-613 CAD Drawing</t>
  </si>
  <si>
    <t>BERTELKAMP AUTOMATION, INC</t>
  </si>
  <si>
    <t>Bible's, Smalley mfg, JTEKT</t>
  </si>
  <si>
    <t>Lead time on 750 products</t>
  </si>
  <si>
    <t>03282022</t>
  </si>
  <si>
    <t>Bobby is considering giving us blanket orders.</t>
  </si>
  <si>
    <t>Lunch</t>
  </si>
  <si>
    <t>03292022</t>
  </si>
  <si>
    <t>Switch conversation</t>
  </si>
  <si>
    <t>Precision Time Protocol</t>
  </si>
  <si>
    <t>We do not have PTP on our switches. That eliminates us from their AB projects.</t>
  </si>
  <si>
    <t>Ckt Breakers</t>
  </si>
  <si>
    <t>03312022</t>
  </si>
  <si>
    <t>Animax</t>
  </si>
  <si>
    <t>Relay Opportunity</t>
  </si>
  <si>
    <t>04042022</t>
  </si>
  <si>
    <t>Isolation Amplifier</t>
  </si>
  <si>
    <t>ATC Planning</t>
  </si>
  <si>
    <t>04052022</t>
  </si>
  <si>
    <t>Product Demo</t>
  </si>
  <si>
    <t>04062022</t>
  </si>
  <si>
    <t>POE Switch 852-1411</t>
  </si>
  <si>
    <t>Terminal Assembly</t>
  </si>
  <si>
    <t>Failure Analysis - shipped ECBs</t>
  </si>
  <si>
    <t>Lunch N Learn</t>
  </si>
  <si>
    <t>04072022</t>
  </si>
  <si>
    <t>TTT Fenton</t>
  </si>
  <si>
    <t>Bussman Circuit Breaker Conversion</t>
  </si>
  <si>
    <t>Lunch N Learn with Electricians</t>
  </si>
  <si>
    <t>04082022</t>
  </si>
  <si>
    <t>PFC200 with Cell Modem Market Introduction</t>
  </si>
  <si>
    <t>QMSI Investigation</t>
  </si>
  <si>
    <t>04102022</t>
  </si>
  <si>
    <t>Automation Opportunity</t>
  </si>
  <si>
    <t>Power Cage Clamp Demo</t>
  </si>
  <si>
    <t>04112022</t>
  </si>
  <si>
    <t>221 Opportunity Discovery</t>
  </si>
  <si>
    <t>04132022</t>
  </si>
  <si>
    <t>Connector Opportunity</t>
  </si>
  <si>
    <t>04142022</t>
  </si>
  <si>
    <t>Automation Conversation</t>
  </si>
  <si>
    <t>04192022</t>
  </si>
  <si>
    <t>04202022</t>
  </si>
  <si>
    <t>859-801 discussion</t>
  </si>
  <si>
    <t>221 inline investigation</t>
  </si>
  <si>
    <t>04252022</t>
  </si>
  <si>
    <t>04282022</t>
  </si>
  <si>
    <t>Power Supply Conversion</t>
  </si>
  <si>
    <t>04292022</t>
  </si>
  <si>
    <t>IO Lead Time (EIP)</t>
  </si>
  <si>
    <t>11072022</t>
  </si>
  <si>
    <t>Lunch n Learn with 35+ of JR Automation team leads and design engineers. 
Opportunity for ECBs and terminals uncovered.</t>
  </si>
  <si>
    <t>DJ</t>
  </si>
  <si>
    <t>Kelly</t>
  </si>
  <si>
    <t>Marcus</t>
  </si>
  <si>
    <t>Andrew</t>
  </si>
  <si>
    <t>Jason</t>
  </si>
  <si>
    <t>Nick</t>
  </si>
  <si>
    <t>Charley</t>
  </si>
  <si>
    <t>Alan</t>
  </si>
  <si>
    <t>Lucas</t>
  </si>
  <si>
    <t>Glenn</t>
  </si>
  <si>
    <t>Rambeski?</t>
  </si>
  <si>
    <t>Team Building</t>
  </si>
  <si>
    <t>Team building event with Joe Thatcher, principle engineer at Animax.</t>
  </si>
  <si>
    <t>750 Bus coupler interest</t>
  </si>
  <si>
    <t xml:space="preserve">Hey Caleb,
I hope you’re doing well and had a great holiday.
Just wanted to circle back with you on the remote IO we were talking about before Thanksgiving. The customer got back with us and spec’d AB point IO as the alternative and were able to provide us with what we needed out of their own supply. That being said, I’m certain there will be another opportunity to go with Wago in the future. Think we could barrow that Ethernet/IP coms unit with a couple standard input/output cards next time you’re in the area?
Thanks,
 www.atcautomation.com 	 	 
	David
 	Bailey
Controls Designer   Alpha Team
davidb@atcautomation.comW: 931 528 5417 
Address: 101 Mill Dr. Cookeville, TN 38501 2174
From: Page, Caleb &lt;Caleb.Page@wago.com&gt; 
Sent: Thursday, November 18, 2021 3:49 PM
To: David T. Bailey &lt;davidb@atcautomation.com&gt;
Subject: RE: Wago Remote IO
EXTERNAL EMAIL
David,
Sounds good!
Best,
Caleb Page 
Cell: (615) 580-9109
Email: caleb.page@wago.com 
Wago US HQ
(800) 346-7245; opt 1 for Customer Care; opt 2 for Tech Support.
www.wago.us 
From: David T. Bailey &lt;davidb@atcautomation.com&gt; 
Sent: Thursday, November 18, 2021 3:47 PM
To: Page, Caleb &lt;Caleb.Page@wago.com&gt;
Subject: RE: Wago Remote IO
Hey Caleb,
The lead times are pretty good but we’re still waiting on customer feedback on approved components. I’d say let’s hold off on the demo for now and we should hear something back tomorrow on how they want to proceed.
Thanks for your help,
 www.atcautomation.com 	 	 
	David
 	Bailey
Controls Designer   Alpha Team
davidb@atcautomation.comW: 931 528 5417 
Address: 101 Mill Dr. Cookeville, TN 38501 2174
From: Page, Caleb &lt;Caleb.Page@wago.com&gt; 
Sent: Wednesday, November 17, 2021 8:22 PM
To: David T. Bailey &lt;davidb@atcautomation.com&gt;
Subject: RE: Wago Remote IO
EXTERNAL EMAIL
David,
How does those lead times stack up compared to other manufacturers? 
Could I run you an EIP bus coupler next week if I have one in my demo equipment? If it’s something you like, let’s work out something for my distributor to get some on the shelf so you can see a shorter lead time moving forward. 
Thanks!
Caleb Page 
Cell: (615) 580-9109
Email: caleb.page@wago.com 
Wago US HQ
(800) 346-7245; opt 1 for Customer Care; opt 2 for Tech Support.
www.wago.us 
From: Page, Caleb 
Sent: Tuesday, November 16, 2021 4:25 PM
To: David T. Bailey &lt;davidb@atcautomation.com&gt;
Subject: RE: Wago Remote IO
David,
We have the Modbus flavor of bus coupler in stock, but with the problems everyone is having getting Rockwell IO in, we are out of the EIP base model (the 750-363). 
I checked the lead time of an EIP capable fieldbus coupler that supports Device Level Ring (at a higher price), and the lead time on that is better. 
Here you go:
Shipment of 14 arrives at end of the month. Ship out from factory on 1st - 2nd week of december. 	750-366	Fieldbus Coupler EtherNet/IP; 4th generation; DLR; light gray
end of feb	750-363	FC EtherNet/IP G4 ECO, 1 pcs.
in stock	750-602	Power Supply; 24 VDC; light gray
in stock	750-430	8-channel digital input; 24 VDC; 3 ms; light gray
in stock	750-530	8-channel digital output; 24 VDC; 0.5 A; light gray
in stock	750-600	End Module; light gray
Caleb Page 
Cell: (615) 580-9109
Email: caleb.page@wago.com 
Wago US HQ
(800) 346-7245; opt 1 for Customer Care; opt 2 for Tech Support.
www.wago.us 
From: David T. Bailey &lt;davidb@atcautomation.com&gt; 
Sent: Monday, November 15, 2021 1:41 PM
To: Page, Caleb &lt;Caleb.Page@wago.com&gt;
Subject: RE: Wago Remote IO
Hey Caleb,
Thank you! After the 2nd kid things just start to run together : )
Perfect. I’ll take a look at the links below and get back if I have any questions.
Can you remind me the lead times on say 20 digital input cards, 20 digital output cards, and 4 buss couplers?
Thanks,
 www.atcautomation.com 	 	 
	David
 	Bailey
Controls Designer   Alpha Team
davidb@atcautomation.comW: 931 528 5417 
Address: 101 Mill Dr. Cookeville, TN 38501 2174
From: Page, Caleb &lt;Caleb.Page@wago.com&gt; 
Sent: Friday, November 12, 2021 4:58 PM
To: David T. Bailey &lt;davidb@atcautomation.com&gt;
Subject: Wago Remote IO
EXTERNAL EMAIL
David,
It was great seeing y’all yesterday! Congrats again on your latest addition. It cracked me UP the way you introduced him: “Thanksgiving is coming up, oh yeah and I had another kid.” Ha! 
Here is some good links:
•	Wago Automation: Link
•	Wago Controllers: Link
•	Wago Edge Devices: Link
•	Wago Remote IO: Link
•	Wago I/O System Field: Link
On the IO, a basic setup would look like a:
•	Bus Coupler (various protocols available)
o	The 750-363 Ethernet/IP bus coupler puts out up to 700mA at 5V for system power. It consumed 350mA, leaving 350mA for system power of IO modules (these do not consume much power)
•	Power Supply (for field): 750-602
o	This puts out a max of 10A at 24VDC. It does not supply power along the K-Bus (for system power—the power consumption of the IO modules themselves. 
o	If you ever use so many IO modules that the system power consumption exceeds the 350mA, the 750-613 (an alternative to the 750-602) puts out up to 2A at 5V for system supply as well 24VDC for the field power.
•	IO modules (500+ different flavors available)
•	End module: 750-600
That’s more than you really need to know. If you ever want to try me out, let me know, and I’ll get you a demo. I can handle the power stuff so you don’t have to check system power or field power. I’ll make it easy on ya. 
Hope you have a great weekend!
Caleb Page 
Regional Sales Manager – Central/Eastern TN 
(615) 580-9109
caleb.page@wago.com 
WAGO Corporation
N120 W19129 Freistadt Rd
Germantown WI 53022
(800) 346-7245; opt 1 for Customer Care; opt 2 for Tech Support.
www.wago.us 
 I’m 
ATC Automation Disclaimer &amp; Confidentiality Notice: This email, and any attachments and/or documents linked to this email, are intended for the addressee and may contain information that is privileged, confidential, proprietary or otherwise protected by law. Any dissemination, distribution or copying is prohibited. Inclusion of this notice serves as a confidentiality marking for the purpose of any confidentiality or nondisclosure agreement. If you have received this communication in error, please notify the sender immediately and delete the message from your system. ATC Automation, 101 Mill Drive, Cookeville, TN 38501, www.atcautomation.com </t>
  </si>
  <si>
    <t>terminal opp follow up</t>
  </si>
  <si>
    <t>crossing parts</t>
  </si>
  <si>
    <t>Edge Device Capabilities</t>
  </si>
  <si>
    <t xml:space="preserve">I think that’s a good wrap up of all we discussed. Interested in the CodeSys stuff for sure. We have a project ongoing that would benefit from a PLC that supports CodeSys so we can test that workflow out. Alan would have more information on the hardware requirements of that project. 
Bobby Glidwell
Systems Architect
Mobile: (615) 957-4277
www.KYZEN.com
CONFIDENTIAL
The content of this message, including any attachments, may contain privileged and/or confidential information proprietary to KYZEN and is intended only for the named addressees. If you are not the intended recipient, you may not disseminate, distribute or copy this email. Please notify the sender immediately by email if you have received this email in error and delete this email from your system.
From: Page, Caleb
Sent: Monday, December 6, 2021 5:15 PM
To: Bobby Glidwell
Subject: Wago Edge PC Follow up
Bobby,
Wanted to let you know that I’ve been working on something to show you regarding our conversation last week. I bought a Rasberry Pi Zero W last week to make demoing/testing the Linux side of things easier without the full blown PC. I’ll be more up to speed on how to use all the features soon.
Here’s a hot list of what we talked about and what I know:
•	PDF capability – creation of PDFs is possible with Debian Linux tools.
•	Ladder Programming – yes…
o	On my Edge Controller, my software e!Cockpit is installed. You can write in ladder or script inside that environment. You probably want to use the Edge PC for the extra horsepower, though.
o	On the Edge PC, e!Cockpit is not installed or supported due to Atom E3845 1.91 GHz Quad Core processor (the controller has an ARM Cortex A9 Quad Core). However, CodeSys is available for installation apart from Wago. 
	Would you get a quote from CodeSys for installing on this PC?
•	If the price is in range for you, that might be a perfect programming environment for Alan to write his ladder logic.
•	If the price is out of range, let me know, and I’ll try to find another option. 
•	Online/Offline/“bootstrap” updates are available.
•	Full Stack Java programming is available. We have other customers using this product that does all their programming in Full Stack with no issues. 
Does this help? Is there anything else that I can look into for you? If you would like to see any of this presented or a walk-through, just let me know and I’ll get that set up.
Best,
Caleb Page 
Regional Sales Manager – Central/Eastern TN 
(615) 580-9109
caleb.page@wago.com 
WAGO Corporation
N120 W19129 Freistadt Rd
Germantown WI 53022
(800) 346-7245; opt 1 for Customer Care; opt 2 for Tech Support.
www.wago.us 
</t>
  </si>
  <si>
    <t>Bobby</t>
  </si>
  <si>
    <t>Logging to AWS with PFC100</t>
  </si>
  <si>
    <t>follow up after Teams meeting with Jesse Cox.</t>
  </si>
  <si>
    <t>ECB Opportunity</t>
  </si>
  <si>
    <t>They are looking to buy several 787-2861/400-000 and/or 787-2861/200-000s in the future.</t>
  </si>
  <si>
    <t xml:space="preserve">Introduction </t>
  </si>
  <si>
    <t>first meeting</t>
  </si>
  <si>
    <t>Automation Products and in-line 221s</t>
  </si>
  <si>
    <t xml:space="preserve">is interested in our System Field IO and inline 221s. </t>
  </si>
  <si>
    <t>Terminal RFQ</t>
  </si>
  <si>
    <t>RFQ for $177 worth of terminals.</t>
  </si>
  <si>
    <t>758-918 Q's</t>
  </si>
  <si>
    <t>How to set up comms.</t>
  </si>
  <si>
    <t xml:space="preserve">Test Marking on AB Terminals. Conversion to our terminals looks likely. </t>
  </si>
  <si>
    <t>2009-115 works for 1492-J4 M6x12 label (possibly). The 2009-615 works for the J3-M5x12.The 2009-515 woks for relays m5x10.  I don't have a solution, yet, for the JD3-m5x8, the JD4-MR6x8, or the J6-M7x12.</t>
  </si>
  <si>
    <t>Kettle Temperature logging application</t>
  </si>
  <si>
    <t>Has four kettle systems for cooking food. Currently temperatures are recorded on a paper cicular graph, but he wants this to be done paperlessly. I am going to propose PFC or TP600.</t>
  </si>
  <si>
    <t>RFQ for $141 worth of terminals.</t>
  </si>
  <si>
    <t>HART IO and Wireless Q's</t>
  </si>
  <si>
    <t>Sent info on 750 series and WAP.</t>
  </si>
  <si>
    <t>Kapture Application with 221s</t>
  </si>
  <si>
    <t>05022022</t>
  </si>
  <si>
    <t>Management Changes at Astec</t>
  </si>
  <si>
    <t>05042022</t>
  </si>
  <si>
    <t>Outside Sales Training</t>
  </si>
  <si>
    <t>05052022</t>
  </si>
  <si>
    <t>Mike McGaha</t>
  </si>
  <si>
    <t>Inside Sales Training</t>
  </si>
  <si>
    <t>05242022</t>
  </si>
  <si>
    <t>Kelly Brandt</t>
  </si>
  <si>
    <t>Ms. Kim Marcum</t>
  </si>
  <si>
    <t>Mr. Michael McGaha</t>
  </si>
  <si>
    <t>Ms. Heidi Mcintosh</t>
  </si>
  <si>
    <t>Ms. Rhonda Mills</t>
  </si>
  <si>
    <t>Mr. Pablo Salazar</t>
  </si>
  <si>
    <t>Mr. Garrett Smith</t>
  </si>
  <si>
    <t>Ms. Kathleen Spurlock</t>
  </si>
  <si>
    <t>Ms. Melissa Tassell</t>
  </si>
  <si>
    <t>Mr. Tim Taylor</t>
  </si>
  <si>
    <t>Mr. Sean Thomas</t>
  </si>
  <si>
    <t>Mr. Bruce Thompson</t>
  </si>
  <si>
    <t>Mr. Ethan Watters</t>
  </si>
  <si>
    <t>Ms. Glenda West</t>
  </si>
  <si>
    <t>Mr. Todd Pugh</t>
  </si>
  <si>
    <t>Mr. Ryan Pugh</t>
  </si>
  <si>
    <t>Wago Introduction</t>
  </si>
  <si>
    <t>05112022</t>
  </si>
  <si>
    <t>Wago Continued Meeting</t>
  </si>
  <si>
    <t>05132022</t>
  </si>
  <si>
    <t>05182022</t>
  </si>
  <si>
    <t>Wago First Order Follow Up Meeting</t>
  </si>
  <si>
    <t>05192022</t>
  </si>
  <si>
    <t xml:space="preserve">Hyla Panel Build </t>
  </si>
  <si>
    <t>05232022</t>
  </si>
  <si>
    <t>Flow Meter Panel Build</t>
  </si>
  <si>
    <t>Mr. Charley Feng</t>
  </si>
  <si>
    <t>Wago IIAT Van Visit</t>
  </si>
  <si>
    <t>Mr. Andrew Kane</t>
  </si>
  <si>
    <t>Mr. Rob Meyer</t>
  </si>
  <si>
    <t>Mr. Jason Parlik</t>
  </si>
  <si>
    <t>Mr. Preston Rahn</t>
  </si>
  <si>
    <t>Mr. John Scarpelli</t>
  </si>
  <si>
    <t>Mr. Joe Sernett</t>
  </si>
  <si>
    <t>Mr. Ryan Trebendis</t>
  </si>
  <si>
    <t>Mr. Kelvin Walker</t>
  </si>
  <si>
    <t>Mr. Matt Zahn</t>
  </si>
  <si>
    <t>060122</t>
  </si>
  <si>
    <t>Dimas Arande</t>
  </si>
  <si>
    <t>MESA</t>
  </si>
  <si>
    <t>Mike Whitt</t>
  </si>
  <si>
    <t>Signal Conditioners</t>
  </si>
  <si>
    <t>060922</t>
  </si>
  <si>
    <t>IO EIP</t>
  </si>
  <si>
    <t>061322</t>
  </si>
  <si>
    <t>Wire Marking</t>
  </si>
  <si>
    <t>Justin Dement</t>
  </si>
  <si>
    <t>060222</t>
  </si>
  <si>
    <t>Mr. Tanner Bryant</t>
  </si>
  <si>
    <t>Mr. Greg Dixon</t>
  </si>
  <si>
    <t>Mr. Jason Horner</t>
  </si>
  <si>
    <t>Mr. Meshal Marzooq</t>
  </si>
  <si>
    <t>Mr. Hiram Morales</t>
  </si>
  <si>
    <t>Mr. Todd Nelson</t>
  </si>
  <si>
    <t>Ms. Rebecca Rudd</t>
  </si>
  <si>
    <t>Mr. Todd Ryan</t>
  </si>
  <si>
    <t>Mr. Paul Summers</t>
  </si>
  <si>
    <t>Mr. Patrick Wickersham</t>
  </si>
  <si>
    <t>Power Distribution Block &amp; Power Supplies</t>
  </si>
  <si>
    <t>060622</t>
  </si>
  <si>
    <t>Web Panel for Vision Applications</t>
  </si>
  <si>
    <t>060722</t>
  </si>
  <si>
    <t>Terminal Discussion</t>
  </si>
  <si>
    <t>061022</t>
  </si>
  <si>
    <t>Product Cross</t>
  </si>
  <si>
    <t>061522</t>
  </si>
  <si>
    <t>Automation Discussion</t>
  </si>
  <si>
    <t>quote</t>
  </si>
  <si>
    <t>Introduction and conversion discussion</t>
  </si>
  <si>
    <t>061622</t>
  </si>
  <si>
    <t>Pro2 Power Supply</t>
  </si>
  <si>
    <t>062022</t>
  </si>
  <si>
    <t>breakout board opportunity</t>
  </si>
  <si>
    <t>062222</t>
  </si>
  <si>
    <t>Check in meeting</t>
  </si>
  <si>
    <t>062122</t>
  </si>
  <si>
    <t>Printer Demo</t>
  </si>
  <si>
    <t>062422</t>
  </si>
  <si>
    <t>Terminal 2nd discussion</t>
  </si>
  <si>
    <t>062822</t>
  </si>
  <si>
    <t>Battery RMA &amp; Pro2 handoff</t>
  </si>
  <si>
    <t>062922</t>
  </si>
  <si>
    <t>2065 Conversion from 2060</t>
  </si>
  <si>
    <t>063022</t>
  </si>
  <si>
    <t>07052022</t>
  </si>
  <si>
    <t>07062022</t>
  </si>
  <si>
    <t>Expansive Product Demo, and Jeff Hutton Introduction</t>
  </si>
  <si>
    <t>Kenny Boutin</t>
  </si>
  <si>
    <t>Terminal &amp; Marking Demo</t>
  </si>
  <si>
    <t>07042022</t>
  </si>
  <si>
    <t>Multi-Product Follow Up</t>
  </si>
  <si>
    <t>07072022</t>
  </si>
  <si>
    <t>2065 Testing</t>
  </si>
  <si>
    <t>07122022</t>
  </si>
  <si>
    <t>Power Supplies</t>
  </si>
  <si>
    <t>07132022</t>
  </si>
  <si>
    <t>Power Supplies, switches, &amp; circuit breakers</t>
  </si>
  <si>
    <t>UPS Systems and Sensor Actuator Boxes</t>
  </si>
  <si>
    <t>07192022</t>
  </si>
  <si>
    <t>AB 1492 breakout cables</t>
  </si>
  <si>
    <t>07212022</t>
  </si>
  <si>
    <t>07202022</t>
  </si>
  <si>
    <t>Lunch &amp; Panel Shop visit</t>
  </si>
  <si>
    <t>07222022</t>
  </si>
  <si>
    <t>07262022</t>
  </si>
  <si>
    <t>Product Overview &amp; L&amp;L Discussion</t>
  </si>
  <si>
    <t>Mitchell  Miller</t>
  </si>
  <si>
    <t>07272022</t>
  </si>
  <si>
    <t>Wago Product Intro - Energy</t>
  </si>
  <si>
    <t>GF Puhl SPA</t>
  </si>
  <si>
    <t>07282022</t>
  </si>
  <si>
    <t>Software, CC100, relays, CBs</t>
  </si>
  <si>
    <t>07292022</t>
  </si>
  <si>
    <t xml:space="preserve">TJS Opportunity </t>
  </si>
  <si>
    <t>Alpha Int SPA</t>
  </si>
  <si>
    <t>McMaster Carr Terminal Cross</t>
  </si>
  <si>
    <t>TJS &amp; Power Supply Opp follow up</t>
  </si>
  <si>
    <t xml:space="preserve">closing opportunity at this account. They were supposed to be about ready to give us an order this month, but aren't anywhere close. </t>
  </si>
  <si>
    <t>811 failure follow up</t>
  </si>
  <si>
    <t>replaced 811 product that was breaking.</t>
  </si>
  <si>
    <t>IO Conversion</t>
  </si>
  <si>
    <t>750-366 conversion discussion.</t>
  </si>
  <si>
    <t>Alpha Integration meeting set up</t>
  </si>
  <si>
    <t>Alpha Integration convo</t>
  </si>
  <si>
    <t>03302022</t>
  </si>
  <si>
    <t>Wago overview</t>
  </si>
  <si>
    <t>product overview and set up lunch-n-learn</t>
  </si>
  <si>
    <t>221 Inline sample</t>
  </si>
  <si>
    <t>sent sample of 221 inline.</t>
  </si>
  <si>
    <t>SIS Demo</t>
  </si>
  <si>
    <t>080422</t>
  </si>
  <si>
    <t>Discussed 40A Pro2 power supplies and electronic circuit breakers. Went over price &amp; lead time, and got a verbal commitment for future orders.</t>
  </si>
  <si>
    <t>080622</t>
  </si>
  <si>
    <t>Discussed conversion to ATC terminals and wire marking.</t>
  </si>
  <si>
    <t>080722</t>
  </si>
  <si>
    <t>Discussed quote for Wago terminals and marking.</t>
  </si>
  <si>
    <t>Discussion of Accounts &amp; Wago's fit for Bertelkamp</t>
  </si>
  <si>
    <t>090822</t>
  </si>
  <si>
    <t>Long conversation about ATC, SIS, MidSouth, and how Wago fits into and expands Bertelkamp's product offering.</t>
  </si>
  <si>
    <t>Discussion of SIS &amp; their quote for ECBs and Pro2 40A</t>
  </si>
  <si>
    <t>Distributor for ATC discussion</t>
  </si>
  <si>
    <t xml:space="preserve">Currie is no longer with Anixter, and his replacement is not responsive, so ATC is reconsidering using them as their primary Wago distributor. With Johnny Crowell no longer at Bertelkamp, they are in a more favorable position than before, but they are not ideal because of their panel shop business. Crescent has been problematic in the past, so this poses difficulty for me to win business at ATC. Jim said that not having a good distributor fit for them is their biggest problem with using my products. </t>
  </si>
  <si>
    <t xml:space="preserve">Opp - DIN Rail Mountable Circuit Breaker </t>
  </si>
  <si>
    <t>080522</t>
  </si>
  <si>
    <t>Handed off samples of circuit breakers &amp; discussed pricing.</t>
  </si>
  <si>
    <t>787-871 issue</t>
  </si>
  <si>
    <t>080822</t>
  </si>
  <si>
    <t>Picked up more bad batteries and discussed problem resolution</t>
  </si>
  <si>
    <t>RMA for 787-871</t>
  </si>
  <si>
    <t>080922</t>
  </si>
  <si>
    <t>RMA shipped 4 787-871s to HQ for inspection.</t>
  </si>
  <si>
    <t>Product Discussion</t>
  </si>
  <si>
    <t>081622</t>
  </si>
  <si>
    <t xml:space="preserve">picked up samples and discussed his plan to look more into using our power supplies when things slow down enough for him to spend more time on new product development. </t>
  </si>
  <si>
    <t xml:space="preserve">Sample retrieval and final quote discussion. </t>
  </si>
  <si>
    <t>081722</t>
  </si>
  <si>
    <t>Wago Training</t>
  </si>
  <si>
    <t>Went over Wago product and account package for his first week at Crescent.</t>
  </si>
  <si>
    <t>Wago Terminal RFQ</t>
  </si>
  <si>
    <t>081822</t>
  </si>
  <si>
    <t>Purchasing &amp; pricing discussion.</t>
  </si>
  <si>
    <t>Conversion - Siemens Panel Mount Remote IO</t>
  </si>
  <si>
    <t>Thomas heard that we had IO readily available, due to a project Jason Pavlik was working on with two of our 765-1102/100-000. He is considering to convert from Siemens 6ES7321-1BH02-0AA0, 16 point IN w/connector he was considering switching from.</t>
  </si>
  <si>
    <t>Lost System Field IO Block</t>
  </si>
  <si>
    <t>Met with Jason to discuss options for two 765-1102/100-000s stolen from a loading dock. They ended up using something else that they had on hand due to lead times.</t>
  </si>
  <si>
    <t>Distributors</t>
  </si>
  <si>
    <t>081922</t>
  </si>
  <si>
    <t xml:space="preserve">Ken wants to move terminal business as well to Crescent and liked the samples I showed for 2200, 2201, &amp; 2206 series. </t>
  </si>
  <si>
    <t>Terminal Sample and Testing</t>
  </si>
  <si>
    <t xml:space="preserve">Demo of TJS samples for new project. </t>
  </si>
  <si>
    <t>Alpha SPA for TJS</t>
  </si>
  <si>
    <t>Met to discuss SPA and RFQ for Alpha. Quickly received PO.</t>
  </si>
  <si>
    <t>Power Supply Opp</t>
  </si>
  <si>
    <t>082222</t>
  </si>
  <si>
    <t xml:space="preserve">Kent was looking for a 2.5A power supply with a short lead time. I suggested the 787-712, which was in stock and had Bulk Buy pricing available. </t>
  </si>
  <si>
    <t>Demo of Wago 750 IO</t>
  </si>
  <si>
    <t>787-875 issue</t>
  </si>
  <si>
    <t>Met with Ben to discuss lead times of our 787-875 and pick up more 787-871s.</t>
  </si>
  <si>
    <t>Lunch Meeting</t>
  </si>
  <si>
    <t>082322</t>
  </si>
  <si>
    <t>Discuss 221 and TJS.</t>
  </si>
  <si>
    <t>Large AWG Wire Marking</t>
  </si>
  <si>
    <t>Follow up on my samples for large AWG wires. He was impressed much more so than the wrap-style labels that are falling off on current systems. This is a great "in" to this account.</t>
  </si>
  <si>
    <t>IIOT Webex</t>
  </si>
  <si>
    <t>082422</t>
  </si>
  <si>
    <t>Discussed needs and interest in our Edge/IIOT devices, and scheduled webex with Tyrone Visser.</t>
  </si>
  <si>
    <t>2nd Terminal Discussion</t>
  </si>
  <si>
    <t>082522</t>
  </si>
  <si>
    <t xml:space="preserve">Discussed terminals, distribution, and free printer promo. Denso is currently using Phoenix contact terminals, which have short lead times. Joshua will talk it over with his team and check interest in using Wago terminals. </t>
  </si>
  <si>
    <t>DIN Rail Circuit Breakers (3rd convo/sample)</t>
  </si>
  <si>
    <t xml:space="preserve">Met to discuss circuit breakers and ECBs. Took samples of different sized circuit breakers for their testing. </t>
  </si>
  <si>
    <t>Web HMI, Edge Devices, PFC discovery</t>
  </si>
  <si>
    <t>082622</t>
  </si>
  <si>
    <t>Met with chase to help him delve deeper into our automation products</t>
  </si>
  <si>
    <t>PCB Tools &amp; 2065 convo</t>
  </si>
  <si>
    <t xml:space="preserve">Handed off samples of PCB tools to help solve breaking issues. Also discussed 2065 conversion. </t>
  </si>
  <si>
    <t>Mesa Associates</t>
  </si>
  <si>
    <t>083022</t>
  </si>
  <si>
    <t xml:space="preserve">Mesa Associates Panel Shop Manager asked for special pricing to assist with Mesa's consideration of converting to Wago products. </t>
  </si>
  <si>
    <t>Lunch-N-Learn</t>
  </si>
  <si>
    <t xml:space="preserve">Held Lunch-N-Learn to follow up the high interest generated by visit with Wago IIOT Van. Interest remained high, and the group was very engaging. Before I left, I had already made an appointment for a second lunch-n-learn so that many more could attend the next one. </t>
  </si>
  <si>
    <t>Barry Meade</t>
  </si>
  <si>
    <t>Introduction to Rodney and Marcus</t>
  </si>
  <si>
    <t>090122</t>
  </si>
  <si>
    <t>Todd introduced me to Marcus and (after Mike had already done so) Rodney so they could further investigate Wago products on their own.</t>
  </si>
  <si>
    <t xml:space="preserve">Sonoco </t>
  </si>
  <si>
    <t>IIOT Discussion</t>
  </si>
  <si>
    <t>Discussion of Wago Edge/IIOT capabilities with Tyron Visser</t>
  </si>
  <si>
    <t>terminal &amp; marking follow up</t>
  </si>
  <si>
    <t>090622</t>
  </si>
  <si>
    <t xml:space="preserve">lunch and demo. Distributor Discussion. </t>
  </si>
  <si>
    <t>Switches &amp; Power Supply Opp</t>
  </si>
  <si>
    <t>demo</t>
  </si>
  <si>
    <t>UPS Failure Discussion</t>
  </si>
  <si>
    <t>090722</t>
  </si>
  <si>
    <t>teams &amp; customer visit</t>
  </si>
  <si>
    <t>Terminal business follow up</t>
  </si>
  <si>
    <t>visit</t>
  </si>
  <si>
    <t>order follow up</t>
  </si>
  <si>
    <t>56 pcs order 857-420</t>
  </si>
  <si>
    <t>UPS Failure Troubleshooting</t>
  </si>
  <si>
    <t>090922</t>
  </si>
  <si>
    <t>testing on site</t>
  </si>
  <si>
    <t>Lunch &amp; testing</t>
  </si>
  <si>
    <t>091222</t>
  </si>
  <si>
    <t>Upselling Mitsubishi systems with Wago</t>
  </si>
  <si>
    <t>091322</t>
  </si>
  <si>
    <t>sheet for sales guys</t>
  </si>
  <si>
    <t>building hardware</t>
  </si>
  <si>
    <t>091422</t>
  </si>
  <si>
    <t>091522</t>
  </si>
  <si>
    <t>preston rahn</t>
  </si>
  <si>
    <t>Lunch &amp; Power Supply Discussion</t>
  </si>
  <si>
    <t>lunch</t>
  </si>
  <si>
    <t>IO Follow up</t>
  </si>
  <si>
    <t>jeff hutton</t>
  </si>
  <si>
    <t>ATC Pre-meeting</t>
  </si>
  <si>
    <t>092022</t>
  </si>
  <si>
    <t>discussion of history at ATC</t>
  </si>
  <si>
    <t>adam kane</t>
  </si>
  <si>
    <t>Tritium follow up</t>
  </si>
  <si>
    <t>terminal opp at tritium</t>
  </si>
  <si>
    <t>Crescent Introduction with Jeff, Lunch, and Product Demo</t>
  </si>
  <si>
    <t>092122</t>
  </si>
  <si>
    <t xml:space="preserve">met with multiple engineers &amp; electricians all over the facility discussing terminals, connectors, and more. Great meeting. </t>
  </si>
  <si>
    <t>jimmy strong</t>
  </si>
  <si>
    <t>jimmy wix</t>
  </si>
  <si>
    <t>221 inline opportunity</t>
  </si>
  <si>
    <t>092222</t>
  </si>
  <si>
    <t>sample for 221 inline and RFQ</t>
  </si>
  <si>
    <t>Jumpers for TJS  Mini</t>
  </si>
  <si>
    <t>092322</t>
  </si>
  <si>
    <t>sampled and helped with cross reference</t>
  </si>
  <si>
    <t>james cole</t>
  </si>
  <si>
    <t>on site</t>
  </si>
  <si>
    <t>Lunch, 750, TJS, 787 discussion</t>
  </si>
  <si>
    <t>092722</t>
  </si>
  <si>
    <t>lunch &amp; product discussion</t>
  </si>
  <si>
    <t>Cross Reference &amp; Quote for 750 products</t>
  </si>
  <si>
    <t>092922</t>
  </si>
  <si>
    <t xml:space="preserve">787, tjs mini, 857, 788 conversion </t>
  </si>
  <si>
    <t>092822</t>
  </si>
  <si>
    <t>quote and discussion</t>
  </si>
  <si>
    <t>ECB</t>
  </si>
  <si>
    <t>quote &amp; commitment</t>
  </si>
  <si>
    <t>ben garratt</t>
  </si>
  <si>
    <t>UPS Failure</t>
  </si>
  <si>
    <t>planning</t>
  </si>
  <si>
    <t>jim johnson</t>
  </si>
  <si>
    <t>quote follow up</t>
  </si>
  <si>
    <t>conversation about distributors</t>
  </si>
  <si>
    <t>jim bowser</t>
  </si>
  <si>
    <t>IO Opportunity</t>
  </si>
  <si>
    <t>091822</t>
  </si>
  <si>
    <t>eip - lost due to lead time</t>
  </si>
  <si>
    <t>scott fesler</t>
  </si>
  <si>
    <t>john laurens</t>
  </si>
  <si>
    <t>Lunch &amp; Discussion on Switches</t>
  </si>
  <si>
    <t>100422</t>
  </si>
  <si>
    <t>Our not having PTP on our switches is not a deal breaker because ControlLogix PLCs have two switches internal to the PLC, so one RJ-45 port can be used for the safety network, and our switch can be utilized for everything not-safety.</t>
  </si>
  <si>
    <t>Quote Follow up</t>
  </si>
  <si>
    <t>101022</t>
  </si>
  <si>
    <t>Joe will "try to get some things going on his side"</t>
  </si>
  <si>
    <t>Bertelkamp Trade Show</t>
  </si>
  <si>
    <t>100722</t>
  </si>
  <si>
    <t>Trade show at Bertelkamp</t>
  </si>
  <si>
    <t>Josh Shoemaker</t>
  </si>
  <si>
    <t>Jordan fouts</t>
  </si>
  <si>
    <t>New Project Inspection</t>
  </si>
  <si>
    <t>SIS is about to start on a new machine, so I was helping them understand more about Wago products, as they intend to use me on this next project.</t>
  </si>
  <si>
    <t>bob higman</t>
  </si>
  <si>
    <t>investigation</t>
  </si>
  <si>
    <t>Understand more about Premier System Integrator's business, and putting together a list of items to quote.</t>
  </si>
  <si>
    <t>Wago Product Presentation</t>
  </si>
  <si>
    <t>Showed Felix Wago for the first time. He wants me to put together a quote for him.</t>
  </si>
  <si>
    <t>Purchasing Meeting</t>
  </si>
  <si>
    <t>Asked Lori how I could help make working with me easier.</t>
  </si>
  <si>
    <t>Checkup</t>
  </si>
  <si>
    <t>Preston is still slammed, but will check out power supply pricing as soon as he can.</t>
  </si>
  <si>
    <t>Met Kyle for lunch. Caught up on him, and his work at ATC. He will help me figure out pricing.</t>
  </si>
  <si>
    <t>HTML5 with a web hmi &amp; ftp image out of it</t>
  </si>
  <si>
    <t>If we could publish the HTML5 webpage from a Cognex camera AND FTP images from it, Cognex's VisionView platform would be the second choice for any Vision application. I discussed this with Kurt Braun. He said he would look into it.</t>
  </si>
  <si>
    <t>tyler lafollette</t>
  </si>
  <si>
    <t>Problems with Channel Partner</t>
  </si>
  <si>
    <t>Robbins &amp; Bohr is not checking on AHE. They kept him waiting needlessly at their office for 45 minutes when he needed to pick up a $20 marking strip because the inside sales rep who had quoted him stepped out to lunch (a manager had to come and was perplexed as to how to handle the situation after he was called). The straw that broke the camel's back was that they gave him a 2-week lead time for product that I have in stock. Because he is receiving absolutely not value add from the distributor, he wants their SPA moved. I'm going to give the SPA to Van with Heilind.</t>
  </si>
  <si>
    <t>Wago conversion at Mesa</t>
  </si>
  <si>
    <t>spoke with Rodney about converting to Wago for over an hour. He will be at the lunch n learn and looks forward to hearing more about Wago.</t>
  </si>
  <si>
    <t>faune nunnery</t>
  </si>
  <si>
    <t>Introduce Jeff Hutton to ATC</t>
  </si>
  <si>
    <t>bobby buck</t>
  </si>
  <si>
    <t>Wago Presentation &amp; Lunch</t>
  </si>
  <si>
    <t>Met with TRANE's entire electrical engineering department for close to 4 hours, discussing Wago's capabilities and offering that could be beneficial to them.</t>
  </si>
  <si>
    <t>Lunch - N - Learn</t>
  </si>
  <si>
    <t>110122</t>
  </si>
  <si>
    <t xml:space="preserve">2nd lunch-n-learn with Mesa. </t>
  </si>
  <si>
    <t>110722</t>
  </si>
  <si>
    <t xml:space="preserve">I want to do more business with JR, and I want them to have the best support possible. Why are they purchasing most of their Wago from Anixter when they have a SPA with Bertelkamp/McGaha? I can't get an answer. </t>
  </si>
  <si>
    <t>Matt owens</t>
  </si>
  <si>
    <t>PO</t>
  </si>
  <si>
    <t>110822</t>
  </si>
  <si>
    <t>Closed Opportunity - Kyzen will be putting our 788-354 on their Kapture product.</t>
  </si>
  <si>
    <t>van mccall</t>
  </si>
  <si>
    <t>Distributor setup with AHE</t>
  </si>
  <si>
    <t>110922</t>
  </si>
  <si>
    <t>Per Tyler at AHE, I set up Heilind with AHE's SPA. This meeting was to introduce Van and to explore opportunities to do more/better business.</t>
  </si>
  <si>
    <t>Astec/Minds control integration</t>
  </si>
  <si>
    <t>111022</t>
  </si>
  <si>
    <t>Astec is moving to incorporate all of the features that their Siemen's solutions provide, but on Mind's cost-effective PCB solution. I looked at their PCB and walked away with an opportunity to provide wire-to-board components.</t>
  </si>
  <si>
    <t>PCB solutions for Astec</t>
  </si>
  <si>
    <t>111522</t>
  </si>
  <si>
    <t>Michael Cuff and I had a Teams meeting with John Watson to discuss our PCB build solutions. Because the board has a chip, we will pass on quoting the build, but will still compete for components.</t>
  </si>
  <si>
    <t>Power Supply</t>
  </si>
  <si>
    <t>111622</t>
  </si>
  <si>
    <t>Discussed power supply solutions and capabilities for Kyle's upcoming design project. I walked away with a committal to buy.</t>
  </si>
  <si>
    <t>Introduction to Wago Online Configurator</t>
  </si>
  <si>
    <t>112322</t>
  </si>
  <si>
    <t>Trained Patrick on how to use our online configurator to build terminal rails, export CAD drawings, and print marking. He was impressed and appreciated Wago's effort to make designs with Wago product a streamlined and simple process.</t>
  </si>
  <si>
    <t>Quote discussion</t>
  </si>
  <si>
    <t>Discussed the quote I put together with Kyle to get his champion perspective before sharing with others at ATC. He gave a strong thumbs up, as we are in the ballpark with other suppliers.</t>
  </si>
  <si>
    <t>jordan fouts</t>
  </si>
  <si>
    <t>power supply opportunity</t>
  </si>
  <si>
    <t>Worked with Jordan to design in our 2787-2147.</t>
  </si>
  <si>
    <t>Wago Quote &amp; Crescent Introduction</t>
  </si>
  <si>
    <t>Introduced Jeff Hutton, and went over quote.</t>
  </si>
  <si>
    <t>Lunch and long meeting</t>
  </si>
  <si>
    <t>Grabbed lunch &amp; introduced Jeff Hutton / Crescent Electric. Then went back to ATC to show product. Had great interest/interaction, and positive reactions to quote.</t>
  </si>
  <si>
    <t>david bailey</t>
  </si>
  <si>
    <t>john zoodsma</t>
  </si>
  <si>
    <t>marty porter</t>
  </si>
  <si>
    <t>kenny bryant</t>
  </si>
  <si>
    <t>brady riddle</t>
  </si>
  <si>
    <t>kyle patrick</t>
  </si>
  <si>
    <t>steve strickland</t>
  </si>
  <si>
    <t>jon kossa</t>
  </si>
  <si>
    <t>jamie presley</t>
  </si>
  <si>
    <t>micah rentschler</t>
  </si>
  <si>
    <t>PFC with 4G opportunity with Mesa</t>
  </si>
  <si>
    <t>Mesa wants to test our PFC with 4G for using on utility applications.</t>
  </si>
  <si>
    <t>Lead Time Update</t>
  </si>
  <si>
    <t>Sat down with Ben to go over their pipeline and compare against what our ESDs are. We are walking on ice as far as holding onto this business. Siemens &amp; Phoenix are competing hard by offering UPS &amp; controllers with no lead time.</t>
  </si>
  <si>
    <t>joseph poole</t>
  </si>
  <si>
    <t>788-154 opportunity</t>
  </si>
  <si>
    <t>111822</t>
  </si>
  <si>
    <t>GF Puhl purchases 600+ of an equivalent to our 788-341. I quoted at $16.00 per and won a verbal for the business.</t>
  </si>
  <si>
    <t>Wago quote</t>
  </si>
  <si>
    <t>Sent Bob a quote for many Wago items for him to compare against what is being used. Jeff Hutton is ACP.</t>
  </si>
  <si>
    <t>Mesa joint call with Bertelkamp</t>
  </si>
  <si>
    <t>112922</t>
  </si>
  <si>
    <t>Tyler Bailes &amp; I met with numerous contacts at Mesa, uncovering several opportunities. Things are progressing here very well, and we have received multiple orders, already.</t>
  </si>
  <si>
    <t>Opportunity Follow up</t>
  </si>
  <si>
    <t>011323</t>
  </si>
  <si>
    <t>832 opportunity and discussion about 1/0 832-ish connector, which product management is looking into developing for TRANE.</t>
  </si>
  <si>
    <t>Printer Delivery &amp; SmartDesigner Training</t>
  </si>
  <si>
    <t>011923</t>
  </si>
  <si>
    <t>750 Product Demonstration</t>
  </si>
  <si>
    <t>011823</t>
  </si>
  <si>
    <t xml:space="preserve">Discussed 750 distributed IO abilities. </t>
  </si>
  <si>
    <t>Wago Printer &amp; Marking Demo</t>
  </si>
  <si>
    <t>012423</t>
  </si>
  <si>
    <t>Hot Standby Conversation - Wago Automation Capabilities</t>
  </si>
  <si>
    <t>Discussed our Hot Standby capabilities with Marcus in Germany, Chris Dunlap, and Rob Via. It seems that there are more options and faster speeds available with CodeSys, but I do not have the details. Need to investigate, as this is an important requirement for many Mesa Inc projects.</t>
  </si>
  <si>
    <t>Pricing Conversation</t>
  </si>
  <si>
    <t>Our quote looks great, and Mesa plans on using Wago for as many items as they can.</t>
  </si>
  <si>
    <t>2023 Planning with Bertelkamp</t>
  </si>
  <si>
    <t>Setting targets and planning for a successful year.</t>
  </si>
  <si>
    <t>Adam, owner of SolVIS Automation, would like to receive leads from us for business and receive more competitive pricing in return for trying to use Wago whenever customer spec doesn’t prevent doing so. Tyler Bailes has a GREAT relationship with this account. Also, I noticed that PULS power supplies were provided by Bertelkamp to this account. Adam said that Tyler sold it and he is loyal to Tyler.</t>
  </si>
  <si>
    <t>ATC Lunch N Learn</t>
  </si>
  <si>
    <t>020223</t>
  </si>
  <si>
    <t>Lunch N learn at ATC. There was high interest in all Wago products.</t>
  </si>
  <si>
    <t>Power Supply Follow Up</t>
  </si>
  <si>
    <t>power supplies 40A was a high interest</t>
  </si>
  <si>
    <t>bill jones</t>
  </si>
  <si>
    <t>Lunch &amp; tjs</t>
  </si>
  <si>
    <t>020823</t>
  </si>
  <si>
    <t>2787 failure &amp; tjs project</t>
  </si>
  <si>
    <t>matt owens</t>
  </si>
  <si>
    <t>DIN rail cutter</t>
  </si>
  <si>
    <t>020923</t>
  </si>
  <si>
    <t>2023 planning</t>
  </si>
  <si>
    <t>Account Retention</t>
  </si>
  <si>
    <t>021323</t>
  </si>
  <si>
    <t>They love Wago. No issues. Small opportunity identified that would help their processes.</t>
  </si>
  <si>
    <t>021423</t>
  </si>
  <si>
    <t>Lunch N Learn with Brennen Ryan (Bertelkamp). High interest in Lean Managed Switches, 750 series, and TJS. Our marking system was a incredible selling point that looks like could make their lives easier.</t>
  </si>
  <si>
    <t>Project Planning</t>
  </si>
  <si>
    <t>021523</t>
  </si>
  <si>
    <t>Project using Wago TJS, 750 IP67 IO, and others.</t>
  </si>
  <si>
    <t>Connection Technology Opportunity Discovery</t>
  </si>
  <si>
    <t>022123</t>
  </si>
  <si>
    <t>found connector opportunities with Michael Cuff and Cory Thiel</t>
  </si>
  <si>
    <t>022023</t>
  </si>
  <si>
    <t>Discussed ways to segment machines using WINSTA products for a faster tear down and install of systems.</t>
  </si>
  <si>
    <t>PCB Opportunity Discussion</t>
  </si>
  <si>
    <t>PCBs for board cleaning opportunity discovery.</t>
  </si>
  <si>
    <t>WINSTA &amp; 221 opportunity discovery.</t>
  </si>
  <si>
    <t>Lunch &amp; kmeeting to follow up on 832, 221, and multiple WINSTA opportunities.</t>
  </si>
  <si>
    <t>022323</t>
  </si>
  <si>
    <t>Plant Walkthrough, Lunch, and Follow up meeting afterwards</t>
  </si>
  <si>
    <t>Tour of Dam, and Lunch presentation</t>
  </si>
  <si>
    <t>021623</t>
  </si>
  <si>
    <t>Lunch &amp; tour of Dam.</t>
  </si>
  <si>
    <t>Astec Upgrades Continue</t>
  </si>
  <si>
    <t>030123</t>
  </si>
  <si>
    <t>Lunch meeting</t>
  </si>
  <si>
    <t>TOPJOB Project</t>
  </si>
  <si>
    <t>Assist with putting TopJob on project</t>
  </si>
  <si>
    <t>Lunch-N-Learn with ICSI</t>
  </si>
  <si>
    <t>031623</t>
  </si>
  <si>
    <t xml:space="preserve">Most interaction I've ever had with ICSI. Entire purchasing &amp; engineering team, along with owner were interactive for a lunch-n-learn. Brennen Ryan (Bertelkamp) and I have several follow up items. </t>
  </si>
  <si>
    <t>Rainsville Technology PLC Upgrade</t>
  </si>
  <si>
    <t>Assisted Michael with initial conversations with Chris Jeffcoat.</t>
  </si>
  <si>
    <t>Pro2 Stocking Conversations</t>
  </si>
  <si>
    <t>Automation PLC Opportunity</t>
  </si>
  <si>
    <t>030923</t>
  </si>
  <si>
    <t xml:space="preserve">We are not going to be a good fit for what they were hoping, but they might still come back aorund to me. </t>
  </si>
  <si>
    <t>Lunch &amp; Follow up</t>
  </si>
  <si>
    <t>031023</t>
  </si>
  <si>
    <t>Tritium First Visit</t>
  </si>
  <si>
    <t>031423</t>
  </si>
  <si>
    <t>Lunch-N-Learn Follow up</t>
  </si>
  <si>
    <t>DENSO CT Opportunity</t>
  </si>
  <si>
    <t>032023</t>
  </si>
  <si>
    <t>Lead time issues are making delivery an undertaking</t>
  </si>
  <si>
    <t>032423</t>
  </si>
  <si>
    <t>031523</t>
  </si>
  <si>
    <t>030323</t>
  </si>
  <si>
    <t>033023</t>
  </si>
  <si>
    <t>750 Opportunity</t>
  </si>
  <si>
    <t>built a BOM for Nathan and quoted through Brennen</t>
  </si>
  <si>
    <t>verburnum project</t>
  </si>
  <si>
    <t>040323</t>
  </si>
  <si>
    <t>topjobs, power supply, relay, etc selection</t>
  </si>
  <si>
    <t>040423</t>
  </si>
  <si>
    <t>bulkhead discussion</t>
  </si>
  <si>
    <t>project update</t>
  </si>
  <si>
    <t>040523</t>
  </si>
  <si>
    <t xml:space="preserve">lunch @ tenfold Brewery in Nashville. Discussed success with TJS terminal blocks and about managed switch needs. This meeting secured the sale of multiple PoE Managed Ethernet Switches to communicate/power Cognex vision systems. </t>
  </si>
  <si>
    <t>ryan trebendis</t>
  </si>
  <si>
    <t>KELVIN WALKER</t>
  </si>
  <si>
    <t>sean palka</t>
  </si>
  <si>
    <t>jason pavlik</t>
  </si>
  <si>
    <t>alan neal</t>
  </si>
  <si>
    <t>automation upgrade project</t>
  </si>
  <si>
    <t>040623</t>
  </si>
  <si>
    <t>Project to upgrade 300+ PLCs on molding machines throughout their multiple plants.</t>
  </si>
  <si>
    <t>dale overdorf</t>
  </si>
  <si>
    <t>stephen mckinley</t>
  </si>
  <si>
    <t>042023</t>
  </si>
  <si>
    <t>no updates noted. Investigated who to secure NDA from.</t>
  </si>
  <si>
    <t>roy robinson</t>
  </si>
  <si>
    <t>darrell shelton</t>
  </si>
  <si>
    <t>Power Supply conversion</t>
  </si>
  <si>
    <t>042423</t>
  </si>
  <si>
    <t>787 to 2787 conversation</t>
  </si>
  <si>
    <t>Managed PoE Switch for Cognex Cameras</t>
  </si>
  <si>
    <t>worked with cognex to prove that our 852-1505 would work for their PoE cameras for Preston @ JR Automation.</t>
  </si>
  <si>
    <t>jesse toland</t>
  </si>
  <si>
    <t>james Singleton</t>
  </si>
  <si>
    <t>marking demo</t>
  </si>
  <si>
    <t>todd pugh</t>
  </si>
  <si>
    <t>CTs for Denso - Lead time issues</t>
  </si>
  <si>
    <t>switching part numbers, communicating with Todd Pugh and customer. - logging because this took time over several days.</t>
  </si>
  <si>
    <t>bulkheads for verburnum</t>
  </si>
  <si>
    <t>040723</t>
  </si>
  <si>
    <t>created lock kit pn in system, quoted jon</t>
  </si>
  <si>
    <t>765 series UL certification</t>
  </si>
  <si>
    <t>040823</t>
  </si>
  <si>
    <t>halted for use as this series product does not have UL</t>
  </si>
  <si>
    <t>locally stored tags in CodeSys</t>
  </si>
  <si>
    <t>041123</t>
  </si>
  <si>
    <t>tested in codeSys with Tracy Lenz to answer questions from Shoals</t>
  </si>
  <si>
    <t>rma for 787-871</t>
  </si>
  <si>
    <t>041223</t>
  </si>
  <si>
    <t>crescent inside/outside sales not keeping up with previous instructions</t>
  </si>
  <si>
    <t>Wago follow up on multiple products</t>
  </si>
  <si>
    <t>041323</t>
  </si>
  <si>
    <t>Conversion to Wago across multiple product lines</t>
  </si>
  <si>
    <t>041723</t>
  </si>
  <si>
    <t>special pricing for increased business</t>
  </si>
  <si>
    <t>041823</t>
  </si>
  <si>
    <t>PFC schedule explained</t>
  </si>
  <si>
    <t>can provide 6 pieces per month starting in december</t>
  </si>
  <si>
    <t>CE Documentation for Jordan Boyd</t>
  </si>
  <si>
    <t>Met with Jordan. He needs CE documentation for multiple products to finish audit.</t>
  </si>
  <si>
    <t>RMA for NRT</t>
  </si>
  <si>
    <t>041923</t>
  </si>
  <si>
    <t>Terminal Block Calculator</t>
  </si>
  <si>
    <t>brad klena</t>
  </si>
  <si>
    <t>Pro2 Challenge</t>
  </si>
  <si>
    <t>042623</t>
  </si>
  <si>
    <t>dimas aranda</t>
  </si>
  <si>
    <t>power supplies - 48VCD</t>
  </si>
  <si>
    <t>042723</t>
  </si>
  <si>
    <t>ATC e-Lounge</t>
  </si>
  <si>
    <t>042823</t>
  </si>
  <si>
    <t>built a website to help me communicate across ATC's multiple teams</t>
  </si>
  <si>
    <t>Robert Jordan</t>
  </si>
  <si>
    <t>Massey Electric</t>
  </si>
  <si>
    <t>rjordan@masseyelectric.com</t>
  </si>
  <si>
    <t>2120 Westland Dr. SW / Cleveland TN 37311</t>
  </si>
  <si>
    <t>Ryan Webster</t>
  </si>
  <si>
    <t>ryan.webster@claytonhomes.com</t>
  </si>
  <si>
    <t>Carol Barrett</t>
  </si>
  <si>
    <t>Adio Brown</t>
  </si>
  <si>
    <t>Garrett Bush</t>
  </si>
  <si>
    <t>Dena Dye</t>
  </si>
  <si>
    <t>Maja Estil</t>
  </si>
  <si>
    <t>Shawn Herman</t>
  </si>
  <si>
    <t>Brandon Huff</t>
  </si>
  <si>
    <t>Danylo "Danny" Kravchenko</t>
  </si>
  <si>
    <t>Blair McLean</t>
  </si>
  <si>
    <t>Derrick Muncy</t>
  </si>
  <si>
    <t>120169546</t>
  </si>
  <si>
    <t>120169357</t>
  </si>
  <si>
    <t>120169549</t>
  </si>
  <si>
    <t>120169545</t>
  </si>
  <si>
    <t>120169650</t>
  </si>
  <si>
    <t>120169651</t>
  </si>
  <si>
    <t>120169526</t>
  </si>
  <si>
    <t>120169498</t>
  </si>
  <si>
    <t>120069753</t>
  </si>
  <si>
    <t>Carol.Barrett@chromalox.com</t>
  </si>
  <si>
    <t>Adio.Brown@chromalox.com</t>
  </si>
  <si>
    <t>garrettb@adveng.com</t>
  </si>
  <si>
    <t>Dena.Dye@chromalox.com</t>
  </si>
  <si>
    <t>Maja.Estil@chromalox.com</t>
  </si>
  <si>
    <t>Shawn.Herman@chromalox.com</t>
  </si>
  <si>
    <t>Brandon.Huff@chromalox.com</t>
  </si>
  <si>
    <t>Danylo.Kravchenko@chromalox.com</t>
  </si>
  <si>
    <t>blair.mclean@chromalox.com</t>
  </si>
  <si>
    <t>derrickm@adveng.com</t>
  </si>
  <si>
    <t>Brian Young</t>
  </si>
  <si>
    <t>Patrick Wheeler</t>
  </si>
  <si>
    <t>Jeremy Bracknell</t>
  </si>
  <si>
    <t>briany@adveng.com</t>
  </si>
  <si>
    <t>patrick.wheeler@trane.com</t>
  </si>
  <si>
    <t>jbrracknell@littlempe.com</t>
  </si>
  <si>
    <t>120169737</t>
  </si>
  <si>
    <t>Jonathan Colorado</t>
  </si>
  <si>
    <t>Matthew Craig</t>
  </si>
  <si>
    <t>Ian Dixon</t>
  </si>
  <si>
    <t>John Douglas</t>
  </si>
  <si>
    <t>John Killgo</t>
  </si>
  <si>
    <t>Najib Sequias</t>
  </si>
  <si>
    <t>jonathan.douglas@assurant.com</t>
  </si>
  <si>
    <t>Matthew.Craig@Assurant.com</t>
  </si>
  <si>
    <t>ian.dixon@assurant.com</t>
  </si>
  <si>
    <t>john.douglas@assurant.com</t>
  </si>
  <si>
    <t>john.killgo@assurant.com</t>
  </si>
  <si>
    <t>naji.sequias@hotmail.com</t>
  </si>
  <si>
    <t>Assurant R&amp;D Center</t>
  </si>
  <si>
    <t>Randall Breaker</t>
  </si>
  <si>
    <t>Wilma Clark</t>
  </si>
  <si>
    <t>Billy Greer</t>
  </si>
  <si>
    <t>Harry Lore</t>
  </si>
  <si>
    <t>Barbara Loso</t>
  </si>
  <si>
    <t>Justin Martinez</t>
  </si>
  <si>
    <t>Tracy Nelson</t>
  </si>
  <si>
    <t>Rhonda Scott</t>
  </si>
  <si>
    <t>+1 602-743-4375</t>
  </si>
  <si>
    <t>Tom.Sorensen@cubic.com</t>
  </si>
  <si>
    <t>wilma.clark@cubic.com</t>
  </si>
  <si>
    <t>billy.greer@cubic.com</t>
  </si>
  <si>
    <t>steven.kelly@cubic.com</t>
  </si>
  <si>
    <t>justin.martinez@cubic.com</t>
  </si>
  <si>
    <t>tracy.nelson@gridsmart.com</t>
  </si>
  <si>
    <t>Robert Franklin</t>
  </si>
  <si>
    <t>Laura Nolen</t>
  </si>
  <si>
    <t>Crescent</t>
  </si>
  <si>
    <t>Jason Bell</t>
  </si>
  <si>
    <t>jbell@nrtsorters.com</t>
  </si>
  <si>
    <t>Wago IIAT Visit</t>
  </si>
  <si>
    <t>David Speck</t>
  </si>
  <si>
    <t>Tyler Card</t>
  </si>
  <si>
    <t>Amiee Jackson</t>
  </si>
  <si>
    <t>Caleb Capps</t>
  </si>
  <si>
    <t>Tyler Cooper</t>
  </si>
  <si>
    <t>Heiberger Solutions</t>
  </si>
  <si>
    <t>Robert Morrison</t>
  </si>
  <si>
    <t>Southern Tech</t>
  </si>
  <si>
    <t>Josh Greenwell</t>
  </si>
  <si>
    <t>Clayton Homes</t>
  </si>
  <si>
    <t>Davin Strom</t>
  </si>
  <si>
    <t>Larry Stokely</t>
  </si>
  <si>
    <t>Millennitek</t>
  </si>
  <si>
    <t>Jeff Petree</t>
  </si>
  <si>
    <t>Steve Getley</t>
  </si>
  <si>
    <t>Mike Tourville</t>
  </si>
  <si>
    <t>Matt Callahan</t>
  </si>
  <si>
    <t>Barry McEntire</t>
  </si>
  <si>
    <t>Talos</t>
  </si>
  <si>
    <t>Bill Everette</t>
  </si>
  <si>
    <t>Pat Cornan</t>
  </si>
  <si>
    <t>Brian Johnson</t>
  </si>
  <si>
    <t>Brian.Johnson@claytonhomes.com</t>
  </si>
  <si>
    <t>Roberto Rosenbalm</t>
  </si>
  <si>
    <t>roberto.rosenbalm@claytonhomes.com</t>
  </si>
  <si>
    <t>david.strom@claytonhomes.com</t>
  </si>
  <si>
    <t>Precision Design &amp; Machine Inc PDM</t>
  </si>
  <si>
    <t>pcornan@pdmcorp.com</t>
  </si>
  <si>
    <t>+1 615-406-7968</t>
  </si>
  <si>
    <t>Brian Stockholm</t>
  </si>
  <si>
    <t>b.stockholm@pdmcorp.com</t>
  </si>
  <si>
    <t>Jeff Wolfgang</t>
  </si>
  <si>
    <t>j.wolfgang@pdmcorp.com</t>
  </si>
  <si>
    <t>10292024</t>
  </si>
  <si>
    <t>Matt.Callahan@assurant.com</t>
  </si>
  <si>
    <t>Kerolos Gerges</t>
  </si>
  <si>
    <t>Kerolos.Gerges@assurant.com</t>
  </si>
  <si>
    <t>Namo Nadir</t>
  </si>
  <si>
    <t>Namo.Nadir@assurant.com</t>
  </si>
  <si>
    <t>Nate Payne</t>
  </si>
  <si>
    <t>Nate.Payne@assurant.com</t>
  </si>
  <si>
    <t>Sam Slagle</t>
  </si>
  <si>
    <t>sam.slagle@assurant.com</t>
  </si>
  <si>
    <t>Brent Terebinski</t>
  </si>
  <si>
    <t>Brent.Terebinski@assurant.com</t>
  </si>
  <si>
    <t>Jennifer Bevel</t>
  </si>
  <si>
    <t>TRANE Clarksville, TN</t>
  </si>
  <si>
    <t>jennifer.bevel@trane.com</t>
  </si>
  <si>
    <t>Robert Bevel</t>
  </si>
  <si>
    <t>robert.bevel@trane.com</t>
  </si>
  <si>
    <t>Naji Chalita</t>
  </si>
  <si>
    <t>Naji.Chalita@tranetechnologies.com</t>
  </si>
  <si>
    <t>Jeff Ducay</t>
  </si>
  <si>
    <t>jeffrey.ducay@tranetechnologies.com</t>
  </si>
  <si>
    <t>+1 931-237-0484</t>
  </si>
  <si>
    <t>Saul Esparza</t>
  </si>
  <si>
    <t>saul.esparza@trane.com</t>
  </si>
  <si>
    <t>Jack Fuqua</t>
  </si>
  <si>
    <t>jack.fuqua@trane.com</t>
  </si>
  <si>
    <t>Brad Jones</t>
  </si>
  <si>
    <t>brad.jones@trane.com</t>
  </si>
  <si>
    <t>Evan Karanja</t>
  </si>
  <si>
    <t>evan.karanja@tranetechnologies.com</t>
  </si>
  <si>
    <t>Daniel Macvicar</t>
  </si>
  <si>
    <t>dmacvicar@trane.com</t>
  </si>
  <si>
    <t>Ryan Sinclair</t>
  </si>
  <si>
    <t>ryan.sinclair@trane.com</t>
  </si>
  <si>
    <t>Jackson Wray</t>
  </si>
  <si>
    <t>jackson.wray@trane.com</t>
  </si>
  <si>
    <t>Minhas Zaman</t>
  </si>
  <si>
    <t>Minhas.Zaman@trane.com</t>
  </si>
  <si>
    <t>Cubic Transportation</t>
  </si>
  <si>
    <t>Thomas(Tom Busch-Sorensen</t>
  </si>
  <si>
    <t>Jamie Croft</t>
  </si>
  <si>
    <t>jamie.croft@cubic.com</t>
  </si>
  <si>
    <t>Nathan Frazier</t>
  </si>
  <si>
    <t>nathan.frazier@cubic.com</t>
  </si>
  <si>
    <t>Patrick Sullivan</t>
  </si>
  <si>
    <t>patrick.sullivan@cubic.com</t>
  </si>
  <si>
    <t>mike.tourville@cubic.com</t>
  </si>
  <si>
    <t>Mike Ulmer</t>
  </si>
  <si>
    <t>Kevin VanHowe</t>
  </si>
  <si>
    <t>Kevin.VanHowe@cubic.com</t>
  </si>
  <si>
    <t>Skip Willmore</t>
  </si>
  <si>
    <t>skip.willmore@cubic.com</t>
  </si>
  <si>
    <t>Karen Wright</t>
  </si>
  <si>
    <t>10142024</t>
  </si>
  <si>
    <t>10242024</t>
  </si>
  <si>
    <t>John Leatherman</t>
  </si>
  <si>
    <t>john.leatherman@talosep.com</t>
  </si>
  <si>
    <t>William Logan</t>
  </si>
  <si>
    <t>william.logan@talosep.com</t>
  </si>
  <si>
    <t>Barry.McEntire@talosep.com</t>
  </si>
  <si>
    <t>Jared Stacey</t>
  </si>
  <si>
    <t>jared.stacey@talosep.com</t>
  </si>
  <si>
    <t>10232024</t>
  </si>
  <si>
    <t>NATIONAL RECOVERY TECHNOLOGIES</t>
  </si>
  <si>
    <t>+1 615-540-6034</t>
  </si>
  <si>
    <t>Jordan Boyd</t>
  </si>
  <si>
    <t>jboyd@nrtsorters.com</t>
  </si>
  <si>
    <t>+1 931-510-5273</t>
  </si>
  <si>
    <t>Mike Byron</t>
  </si>
  <si>
    <t>mike@nrtsorters.com</t>
  </si>
  <si>
    <t>+1 615-516-2800</t>
  </si>
  <si>
    <t>Ryan Ebert</t>
  </si>
  <si>
    <t>Stefanie House</t>
  </si>
  <si>
    <t>shouse@nrtsorters.com</t>
  </si>
  <si>
    <t>Brenda Snodderly</t>
  </si>
  <si>
    <t>bsnodderly@nrtsorters.com</t>
  </si>
  <si>
    <t>Curtis Tiffner</t>
  </si>
  <si>
    <t>ctiffner@nrtsorters.com</t>
  </si>
  <si>
    <t>+1 615-513-2026</t>
  </si>
  <si>
    <t>10222024</t>
  </si>
  <si>
    <t>rfranklin@nrtsorters.com</t>
  </si>
  <si>
    <t>WhisperRoom, Inc.</t>
  </si>
  <si>
    <t>Rafael Torres</t>
  </si>
  <si>
    <t>Triso-x</t>
  </si>
  <si>
    <t>Lenin Gomez</t>
  </si>
  <si>
    <t>Chuck Brashear</t>
  </si>
  <si>
    <t>Bryan Massenzo</t>
  </si>
  <si>
    <t>Jordan Cox</t>
  </si>
  <si>
    <t>Timken Bearing</t>
  </si>
  <si>
    <t>Danny Black</t>
  </si>
  <si>
    <t>Ryan Mason</t>
  </si>
  <si>
    <t>Precious Eboh</t>
  </si>
  <si>
    <t>Team Technologies</t>
  </si>
  <si>
    <t>Chris Rose</t>
  </si>
  <si>
    <t>Rick Mckinney</t>
  </si>
  <si>
    <t>Phillip Scott</t>
  </si>
  <si>
    <t>Hayden Poirier</t>
  </si>
  <si>
    <t>Bradley Johnson</t>
  </si>
  <si>
    <t>Nick Abbott</t>
  </si>
  <si>
    <t>Matt Quiett</t>
  </si>
  <si>
    <t>Kade Fortner</t>
  </si>
  <si>
    <t>Cole Green</t>
  </si>
  <si>
    <t>Augstin Manolache</t>
  </si>
  <si>
    <t>Tyler Andrew</t>
  </si>
  <si>
    <t>Smurfit Westrock</t>
  </si>
  <si>
    <t>Joey Boling</t>
  </si>
  <si>
    <t>Billy Robertson</t>
  </si>
  <si>
    <t>Marco Hsu</t>
  </si>
  <si>
    <t>Siemens Healthineers</t>
  </si>
  <si>
    <t>Jordan Summers</t>
  </si>
  <si>
    <t>Ethan Christison</t>
  </si>
  <si>
    <t>Scapa</t>
  </si>
  <si>
    <t>Randall Harris</t>
  </si>
  <si>
    <t>Royal Precision Plastic's</t>
  </si>
  <si>
    <t>Jeff Gamble</t>
  </si>
  <si>
    <t>Reily Foods</t>
  </si>
  <si>
    <t>Chris DiGiovanni</t>
  </si>
  <si>
    <t>Robert Samudio</t>
  </si>
  <si>
    <t>Tom Graumann</t>
  </si>
  <si>
    <t>Maik Peters</t>
  </si>
  <si>
    <t>Sean Coombs</t>
  </si>
  <si>
    <t>Ping Cai</t>
  </si>
  <si>
    <t>Kevin Zinn</t>
  </si>
  <si>
    <t>Darren Loposser</t>
  </si>
  <si>
    <t>Austin Wheat</t>
  </si>
  <si>
    <t>Angel Berrocal</t>
  </si>
  <si>
    <t>Adam James</t>
  </si>
  <si>
    <t>Sam Beaver</t>
  </si>
  <si>
    <t>Casey Marquardt</t>
  </si>
  <si>
    <t>Troy Woodall</t>
  </si>
  <si>
    <t>MM Industries</t>
  </si>
  <si>
    <t>Tim Whitworth</t>
  </si>
  <si>
    <t>Todd Logan</t>
  </si>
  <si>
    <t>Jordan Little</t>
  </si>
  <si>
    <t>Philip Courtney</t>
  </si>
  <si>
    <t>Mike McGinnis</t>
  </si>
  <si>
    <t>Todd Mitchel</t>
  </si>
  <si>
    <t>Michael Heimsoth</t>
  </si>
  <si>
    <t>Bo Ridley</t>
  </si>
  <si>
    <t>Invent Automation</t>
  </si>
  <si>
    <t>Wes Stone</t>
  </si>
  <si>
    <t>Iconex</t>
  </si>
  <si>
    <t>Jim Price</t>
  </si>
  <si>
    <t>Zack Emory</t>
  </si>
  <si>
    <t>Evolve Renewable Materials</t>
  </si>
  <si>
    <t>Dennis Roeder</t>
  </si>
  <si>
    <t>Moon Choi</t>
  </si>
  <si>
    <t>Dura-Line</t>
  </si>
  <si>
    <t>Walter Cowart</t>
  </si>
  <si>
    <t>Ben Claybrook</t>
  </si>
  <si>
    <t>Kaelyn Slaughter</t>
  </si>
  <si>
    <t>Holly Craddock</t>
  </si>
  <si>
    <t>Adam Olukalns</t>
  </si>
  <si>
    <t>Terry Millhorn</t>
  </si>
  <si>
    <t>Crown Laboratories</t>
  </si>
  <si>
    <t>Norman Patterson</t>
  </si>
  <si>
    <t>Concrete Polishing Solutions</t>
  </si>
  <si>
    <t>Michael Lowe</t>
  </si>
  <si>
    <t>Cheryl Alley</t>
  </si>
  <si>
    <t>Jose Lopez</t>
  </si>
  <si>
    <t>Colgate Palmolive</t>
  </si>
  <si>
    <t>Humberto Lameda</t>
  </si>
  <si>
    <t>Ed Strohofer</t>
  </si>
  <si>
    <t>Dennis White</t>
  </si>
  <si>
    <t>Eric Peterson</t>
  </si>
  <si>
    <t>Christopher Chesney</t>
  </si>
  <si>
    <t>ARC Automotive Inc</t>
  </si>
  <si>
    <t>David Ticehurst</t>
  </si>
  <si>
    <t>Function</t>
  </si>
  <si>
    <t>Department</t>
  </si>
  <si>
    <t>Job Title</t>
  </si>
  <si>
    <t>Work Phone</t>
  </si>
  <si>
    <t>Josh International</t>
  </si>
  <si>
    <t>mheimsoth@jostinternational.com</t>
  </si>
  <si>
    <t>Mr.</t>
  </si>
  <si>
    <t>Heimsoth</t>
  </si>
  <si>
    <t>Engineering/Research/Develop.</t>
  </si>
  <si>
    <t>tmitchel@jostinternational.com</t>
  </si>
  <si>
    <t>Mitchel</t>
  </si>
  <si>
    <t>ethan.christison@mativ.com</t>
  </si>
  <si>
    <t>Christison</t>
  </si>
  <si>
    <t>Mark Jurgens</t>
  </si>
  <si>
    <t>INTERSOL LLC</t>
  </si>
  <si>
    <t>mjurgens@gmail.com</t>
  </si>
  <si>
    <t>Jurgens</t>
  </si>
  <si>
    <t>twhitworth@mmcontainer.com</t>
  </si>
  <si>
    <t>Whitworth</t>
  </si>
  <si>
    <t>twoodall@mmcontainer.com</t>
  </si>
  <si>
    <t>Troy</t>
  </si>
  <si>
    <t>Woodall</t>
  </si>
  <si>
    <t>Pitco Engineering</t>
  </si>
  <si>
    <t>tgr@pitcoengineering.com</t>
  </si>
  <si>
    <t>Graumann</t>
  </si>
  <si>
    <t>mpe@pitcoengineering.com</t>
  </si>
  <si>
    <t>Maik</t>
  </si>
  <si>
    <t>Peters</t>
  </si>
  <si>
    <t>SolVIS Inc</t>
  </si>
  <si>
    <t>kade@solvis.us</t>
  </si>
  <si>
    <t>Kade</t>
  </si>
  <si>
    <t>Fortner</t>
  </si>
  <si>
    <t>cgreen@solvis.us</t>
  </si>
  <si>
    <t>Cole</t>
  </si>
  <si>
    <t>Green</t>
  </si>
  <si>
    <t>augustin@solvis.us</t>
  </si>
  <si>
    <t>Augstin</t>
  </si>
  <si>
    <t>Manolache</t>
  </si>
  <si>
    <t>mquiett@solvis.us</t>
  </si>
  <si>
    <t>Quiett</t>
  </si>
  <si>
    <t>AMETEK-ORTEC Advanced Measurement Technology</t>
  </si>
  <si>
    <t>Dave.Ticehurst@ametek.com</t>
  </si>
  <si>
    <t>Ticehurst</t>
  </si>
  <si>
    <t>chris.chesney@arcautomotive.com</t>
  </si>
  <si>
    <t>Christopher</t>
  </si>
  <si>
    <t>Chesney</t>
  </si>
  <si>
    <t>humberto_lameda@colpal.com</t>
  </si>
  <si>
    <t>Humberto</t>
  </si>
  <si>
    <t>Lameda</t>
  </si>
  <si>
    <t>jose_gregorio_lopez@colpal.com</t>
  </si>
  <si>
    <t>Jose</t>
  </si>
  <si>
    <t>Lopez</t>
  </si>
  <si>
    <t>edward_strohofer@colpal.com</t>
  </si>
  <si>
    <t>Ed</t>
  </si>
  <si>
    <t>Strohofer</t>
  </si>
  <si>
    <t>CBRASHEAR@TRISO-X.COM</t>
  </si>
  <si>
    <t>Brashear</t>
  </si>
  <si>
    <t>lgomez@triso-x.com</t>
  </si>
  <si>
    <t>Lenin</t>
  </si>
  <si>
    <t>Gomez</t>
  </si>
  <si>
    <t>bmassenzo@triso-x.com</t>
  </si>
  <si>
    <t>Bryan</t>
  </si>
  <si>
    <t>Massenzo</t>
  </si>
  <si>
    <t>rtorres@triso-x.com</t>
  </si>
  <si>
    <t>Rafael</t>
  </si>
  <si>
    <t>Torres</t>
  </si>
  <si>
    <t>jordan.cox@timken.com</t>
  </si>
  <si>
    <t>Jordan</t>
  </si>
  <si>
    <t>Cox</t>
  </si>
  <si>
    <t>Tyler.Andrew@westrock.com</t>
  </si>
  <si>
    <t>joey.boling@westrock.com</t>
  </si>
  <si>
    <t>Joey</t>
  </si>
  <si>
    <t>Boling</t>
  </si>
  <si>
    <t>Billy.robertson@westrock.com</t>
  </si>
  <si>
    <t>Billy</t>
  </si>
  <si>
    <t>Robertson</t>
  </si>
  <si>
    <t>rharris@deroyal.com</t>
  </si>
  <si>
    <t>Randall</t>
  </si>
  <si>
    <t>Harris</t>
  </si>
  <si>
    <t>bo@inventautomation.com</t>
  </si>
  <si>
    <t>Bo</t>
  </si>
  <si>
    <t>Ridley</t>
  </si>
  <si>
    <t>jim.price@iconex.com</t>
  </si>
  <si>
    <t>Price</t>
  </si>
  <si>
    <t>wesley.stone@iconex.com</t>
  </si>
  <si>
    <t>Wes</t>
  </si>
  <si>
    <t>Stone</t>
  </si>
  <si>
    <t>zemery@evolvematerials.com</t>
  </si>
  <si>
    <t>Zack</t>
  </si>
  <si>
    <t>Emory</t>
  </si>
  <si>
    <t>d.roeder@evolvematerials.com</t>
  </si>
  <si>
    <t>Dennis</t>
  </si>
  <si>
    <t>Roeder</t>
  </si>
  <si>
    <t>moonpil.choi@duraline.com</t>
  </si>
  <si>
    <t>Moon</t>
  </si>
  <si>
    <t>Choi</t>
  </si>
  <si>
    <t>TENNECO AUTOMOTIVE</t>
  </si>
  <si>
    <t>danny.black@tenneco.com</t>
  </si>
  <si>
    <t>Black</t>
  </si>
  <si>
    <t>JEREMY BRODIOI</t>
  </si>
  <si>
    <t>JBRODIOI@TENNECO.COM</t>
  </si>
  <si>
    <t>JEREMY</t>
  </si>
  <si>
    <t>BRODIOI</t>
  </si>
  <si>
    <t>OPS DIRECTOR</t>
  </si>
  <si>
    <t>+1 615-597-3884</t>
  </si>
  <si>
    <t>Allison</t>
  </si>
  <si>
    <t>+1 865-671-5400</t>
  </si>
  <si>
    <t>Bailey</t>
  </si>
  <si>
    <t>Tanner</t>
  </si>
  <si>
    <t>Bryant</t>
  </si>
  <si>
    <t>Dalton</t>
  </si>
  <si>
    <t>Aneesh</t>
  </si>
  <si>
    <t>Davalbhakta</t>
  </si>
  <si>
    <t>EI&amp;C Department Manager, PE</t>
  </si>
  <si>
    <t>Greg</t>
  </si>
  <si>
    <t>+1 865-776-2608</t>
  </si>
  <si>
    <t>Eudy</t>
  </si>
  <si>
    <t>Director of Emerging Markets</t>
  </si>
  <si>
    <t>Joshua</t>
  </si>
  <si>
    <t>Holt</t>
  </si>
  <si>
    <t>Horner</t>
  </si>
  <si>
    <t>marco.hsu@siemens-healthineers.com</t>
  </si>
  <si>
    <t>Marco</t>
  </si>
  <si>
    <t>Hsu</t>
  </si>
  <si>
    <t>Ryan Hurrell</t>
  </si>
  <si>
    <t>ryan.hurrell@siemens-healthineers.com</t>
  </si>
  <si>
    <t>Hurrell</t>
  </si>
  <si>
    <t>Adam Miller</t>
  </si>
  <si>
    <t>adam.miller@siemens-healthineers.com</t>
  </si>
  <si>
    <t>jordan.summers@siemens-healthineers.com</t>
  </si>
  <si>
    <t>Summers</t>
  </si>
  <si>
    <t>Eric Baker</t>
  </si>
  <si>
    <t>ASTEC</t>
  </si>
  <si>
    <t>ebaker@astecinc.com</t>
  </si>
  <si>
    <t>Baker</t>
  </si>
  <si>
    <t>Michael Black</t>
  </si>
  <si>
    <t>Electrician</t>
  </si>
  <si>
    <t>+1 423-718-3863</t>
  </si>
  <si>
    <t>Chambers</t>
  </si>
  <si>
    <t>Engineers - Controls Director</t>
  </si>
  <si>
    <t>+1 423-827-1322</t>
  </si>
  <si>
    <t>Stephen Dunlevy</t>
  </si>
  <si>
    <t>sadunlevy@astecindustries.com</t>
  </si>
  <si>
    <t>Dunlevy</t>
  </si>
  <si>
    <t>Eley</t>
  </si>
  <si>
    <t>Heatec - Director of Electrical Engineer</t>
  </si>
  <si>
    <t>+1 423-240-0344</t>
  </si>
  <si>
    <t>Francisco</t>
  </si>
  <si>
    <t>Vice President of Service and Constructi</t>
  </si>
  <si>
    <t>+1 423-827-1320</t>
  </si>
  <si>
    <t>Harned</t>
  </si>
  <si>
    <t>Purchasing</t>
  </si>
  <si>
    <t>BUyer</t>
  </si>
  <si>
    <t>+1 423-867-4210</t>
  </si>
  <si>
    <t>+1 913-449-2601</t>
  </si>
  <si>
    <t>Dan</t>
  </si>
  <si>
    <t>Hughes</t>
  </si>
  <si>
    <t>VP of Product Management</t>
  </si>
  <si>
    <t>+1 423-553-5929</t>
  </si>
  <si>
    <t>+1 423-304-6719</t>
  </si>
  <si>
    <t>Johnston</t>
  </si>
  <si>
    <t>Bay Coordinator - fill in for marty</t>
  </si>
  <si>
    <t>+1 423-827-1497</t>
  </si>
  <si>
    <t>Jon Juhlin</t>
  </si>
  <si>
    <t>jjuhlin@astecindustries.com</t>
  </si>
  <si>
    <t>Juhlin</t>
  </si>
  <si>
    <t>Tim Alexander</t>
  </si>
  <si>
    <t>Denso Plant 1 - Maryville, TN</t>
  </si>
  <si>
    <t>tim.alexander@na.denso.com</t>
  </si>
  <si>
    <t>Alexander</t>
  </si>
  <si>
    <t>+1 865-982-7000</t>
  </si>
  <si>
    <t>Brady</t>
  </si>
  <si>
    <t>Mark Breeden</t>
  </si>
  <si>
    <t>mark.breeden@na.denso.com</t>
  </si>
  <si>
    <t>Breeden</t>
  </si>
  <si>
    <t>Jordan Brewer</t>
  </si>
  <si>
    <t>jordan.brewer@na.denso.com</t>
  </si>
  <si>
    <t>Brewer</t>
  </si>
  <si>
    <t>William</t>
  </si>
  <si>
    <t>Buida</t>
  </si>
  <si>
    <t>Bri Chastain</t>
  </si>
  <si>
    <t>bri.chastain@na.denso.com</t>
  </si>
  <si>
    <t>Bri</t>
  </si>
  <si>
    <t>Chastain</t>
  </si>
  <si>
    <t>Machine Electrical Engineering</t>
  </si>
  <si>
    <t>Electrical Controls Engineer 3</t>
  </si>
  <si>
    <t>+1 865-982-7000 ext 2914</t>
  </si>
  <si>
    <t>benjamin.claybrook@na.denso.com</t>
  </si>
  <si>
    <t>Ben</t>
  </si>
  <si>
    <t>Claybrook</t>
  </si>
  <si>
    <t>Mike</t>
  </si>
  <si>
    <t>Conley</t>
  </si>
  <si>
    <t>Cooper</t>
  </si>
  <si>
    <t>holly.craddock@na.denso.com</t>
  </si>
  <si>
    <t>Ms.</t>
  </si>
  <si>
    <t>Holly</t>
  </si>
  <si>
    <t>Craddock</t>
  </si>
  <si>
    <t>nick.abbott@sonoco.com</t>
  </si>
  <si>
    <t>Abbott</t>
  </si>
  <si>
    <t>Lynn.crawford@sonoco.com</t>
  </si>
  <si>
    <t>+1 479-366-9881</t>
  </si>
  <si>
    <t>Crawford</t>
  </si>
  <si>
    <t>Manager, Project Engineering</t>
  </si>
  <si>
    <t>tmillhorn@crownlaboratories.com</t>
  </si>
  <si>
    <t>Terry</t>
  </si>
  <si>
    <t>Millhorn</t>
  </si>
  <si>
    <t>DEROYAL</t>
  </si>
  <si>
    <t>wcowart@deroyal.com</t>
  </si>
  <si>
    <t>Cowart</t>
  </si>
  <si>
    <t>Michael Rosen</t>
  </si>
  <si>
    <t>mrosen@deroyal.com</t>
  </si>
  <si>
    <t>Rosen</t>
  </si>
  <si>
    <t>SOUTHERN CHAMPION TRAY ATTN: RECEIVING</t>
  </si>
  <si>
    <t>bradley.johnson@sctray.com</t>
  </si>
  <si>
    <t>Bradley</t>
  </si>
  <si>
    <t>Johnson</t>
  </si>
  <si>
    <t>rick.mckinney@sctray.com</t>
  </si>
  <si>
    <t>Rick</t>
  </si>
  <si>
    <t>Mckinney</t>
  </si>
  <si>
    <t>Hayden.Poirier@sctray.com</t>
  </si>
  <si>
    <t>Hayden</t>
  </si>
  <si>
    <t>Poirier</t>
  </si>
  <si>
    <t>Phillip.Scott@sctray.com</t>
  </si>
  <si>
    <t>Phillip</t>
  </si>
  <si>
    <t>Gregory</t>
  </si>
  <si>
    <t>Gorman</t>
  </si>
  <si>
    <t>+1 865-220-6900</t>
  </si>
  <si>
    <t>Esther</t>
  </si>
  <si>
    <t>Robbins</t>
  </si>
  <si>
    <t>Joel</t>
  </si>
  <si>
    <t>Sprow</t>
  </si>
  <si>
    <t>dennis.white@carlstargroup.com</t>
  </si>
  <si>
    <t>White</t>
  </si>
  <si>
    <t>Brian</t>
  </si>
  <si>
    <t>Wright</t>
  </si>
  <si>
    <t>Josh.Greenwell@claytonhomes.com</t>
  </si>
  <si>
    <t>Greenwell</t>
  </si>
  <si>
    <t>Roberto</t>
  </si>
  <si>
    <t>Rosenbalm</t>
  </si>
  <si>
    <t>Engineering</t>
  </si>
  <si>
    <t>Electrical Engineer</t>
  </si>
  <si>
    <t>Davin</t>
  </si>
  <si>
    <t>Strom</t>
  </si>
  <si>
    <t>Webster</t>
  </si>
  <si>
    <t>Electrical Control System Technician</t>
  </si>
  <si>
    <t>+1 865-660-7489</t>
  </si>
  <si>
    <t>cheryl.alley@go2cps.com</t>
  </si>
  <si>
    <t>Cheryl</t>
  </si>
  <si>
    <t>Alley</t>
  </si>
  <si>
    <t>+1 877-472-8200</t>
  </si>
  <si>
    <t>michael.lowe@go2cps.com</t>
  </si>
  <si>
    <t>Lowe</t>
  </si>
  <si>
    <t>norman.patterson@go2cps.com</t>
  </si>
  <si>
    <t>Norman</t>
  </si>
  <si>
    <t>Patterson</t>
  </si>
  <si>
    <t>precious.eboh@gmail.com</t>
  </si>
  <si>
    <t>Precious</t>
  </si>
  <si>
    <t>Eboh</t>
  </si>
  <si>
    <t>ryan.mason@teamtech.com</t>
  </si>
  <si>
    <t>Mason</t>
  </si>
  <si>
    <t>Brian May</t>
  </si>
  <si>
    <t>brian.may@teamtechinc.net</t>
  </si>
  <si>
    <t>May</t>
  </si>
  <si>
    <t>Unknown</t>
  </si>
  <si>
    <t>+1 423-587-2199</t>
  </si>
  <si>
    <t>chris.rose@teamtech.com</t>
  </si>
  <si>
    <t>Rose</t>
  </si>
  <si>
    <t>Korey Wampler</t>
  </si>
  <si>
    <t>Korey.Wampler@teamtech.com</t>
  </si>
  <si>
    <t>Korey</t>
  </si>
  <si>
    <t>Wampler</t>
  </si>
  <si>
    <t>Oak Ridge National Laboratory (ORNL</t>
  </si>
  <si>
    <t>berrocala@ornl.gov</t>
  </si>
  <si>
    <t>Angel</t>
  </si>
  <si>
    <t>Berrocal</t>
  </si>
  <si>
    <t>Alex Boulger</t>
  </si>
  <si>
    <t>boulgeram@ornl.gov</t>
  </si>
  <si>
    <t>Alex</t>
  </si>
  <si>
    <t>Boulger</t>
  </si>
  <si>
    <t>+1 865-576-7658</t>
  </si>
  <si>
    <t>Bright</t>
  </si>
  <si>
    <t>caip@ornl.gov</t>
  </si>
  <si>
    <t>Ping</t>
  </si>
  <si>
    <t>Cai</t>
  </si>
  <si>
    <t>cardmt@ornl.gov</t>
  </si>
  <si>
    <t>Card</t>
  </si>
  <si>
    <t>coombssp@ornl.gov</t>
  </si>
  <si>
    <t>Coombs</t>
  </si>
  <si>
    <t>Dodson</t>
  </si>
  <si>
    <t>Control Engineer</t>
  </si>
  <si>
    <t>+1 865-755-3810</t>
  </si>
  <si>
    <t>Hicks</t>
  </si>
  <si>
    <t>+1 865-405-9689</t>
  </si>
  <si>
    <t>jacksonac@ornl.gov</t>
  </si>
  <si>
    <t>+1 208-419-5990</t>
  </si>
  <si>
    <t>Amiee</t>
  </si>
  <si>
    <t>Jackson</t>
  </si>
  <si>
    <t>jamesaj@ornl.gov</t>
  </si>
  <si>
    <t>Kawasaki TN</t>
  </si>
  <si>
    <t>p_courtney@kawasaki-tn.com</t>
  </si>
  <si>
    <t>Philip</t>
  </si>
  <si>
    <t>Courtney</t>
  </si>
  <si>
    <t>Little</t>
  </si>
  <si>
    <t>+1 423-586-9987</t>
  </si>
  <si>
    <t>j_little@kawasaki-tn.com</t>
  </si>
  <si>
    <t>t_logan@kawasaki-tn.com</t>
  </si>
  <si>
    <t>Logan</t>
  </si>
  <si>
    <t>m_mcginnis@kawasaki-tn.com</t>
  </si>
  <si>
    <t>McGinnis</t>
  </si>
  <si>
    <t>samuel.beaver@newellco.com</t>
  </si>
  <si>
    <t>Sam</t>
  </si>
  <si>
    <t>Beaver</t>
  </si>
  <si>
    <t>Jody Fleming</t>
  </si>
  <si>
    <t>jody.fleming@newellco.com</t>
  </si>
  <si>
    <t>Jody</t>
  </si>
  <si>
    <t>Fleming</t>
  </si>
  <si>
    <t>casey.marquardt@newellco.com</t>
  </si>
  <si>
    <t>Marquardt</t>
  </si>
  <si>
    <t>Faith</t>
  </si>
  <si>
    <t>Myers</t>
  </si>
  <si>
    <t>+1 865-977-5477</t>
  </si>
  <si>
    <t>Dax</t>
  </si>
  <si>
    <t>Patel</t>
  </si>
  <si>
    <t>Andy</t>
  </si>
  <si>
    <t>Pokelwaldt</t>
  </si>
  <si>
    <t>Thomas Walker</t>
  </si>
  <si>
    <t>thomas.walker@newellco.com</t>
  </si>
  <si>
    <t>Walker</t>
  </si>
  <si>
    <t>Dylan</t>
  </si>
  <si>
    <t>Eieger</t>
  </si>
  <si>
    <t>+1 865-425-0600</t>
  </si>
  <si>
    <t>Bill</t>
  </si>
  <si>
    <t>Guinn</t>
  </si>
  <si>
    <t>Logan Merrett</t>
  </si>
  <si>
    <t>logan.merrett@protomet.com</t>
  </si>
  <si>
    <t>Merrett</t>
  </si>
  <si>
    <t>Russell</t>
  </si>
  <si>
    <t>robert.samudio@protomet.com</t>
  </si>
  <si>
    <t>Samudio</t>
  </si>
  <si>
    <t>Robert Chapman</t>
  </si>
  <si>
    <t>rchapman@reilyfoods.com</t>
  </si>
  <si>
    <t>Chapman</t>
  </si>
  <si>
    <t>+1 865-546-2120</t>
  </si>
  <si>
    <t>cdigiovanni@reilyfoods.com</t>
  </si>
  <si>
    <t>DiGiovanni</t>
  </si>
  <si>
    <t>jgamble@reilyfoods.com</t>
  </si>
  <si>
    <t>Gamble</t>
  </si>
  <si>
    <t>Kyle Johnson</t>
  </si>
  <si>
    <t>kjohnson@reilyfoods.com</t>
  </si>
  <si>
    <t>Kyle</t>
  </si>
  <si>
    <t>Josh Fletcher</t>
  </si>
  <si>
    <t>jfletcher@whisperroom.com</t>
  </si>
  <si>
    <t>Fletcher</t>
  </si>
  <si>
    <t>Benton</t>
  </si>
  <si>
    <t>+1 865-558-5364</t>
  </si>
  <si>
    <t>Rodney</t>
  </si>
  <si>
    <t>Huffman</t>
  </si>
  <si>
    <t>+1 706-764-6864</t>
  </si>
  <si>
    <t>RICK</t>
  </si>
  <si>
    <t>JORDAN</t>
  </si>
  <si>
    <t>VICE PRESIDENT</t>
  </si>
  <si>
    <t>+1 423-424-7476</t>
  </si>
  <si>
    <t>Meshal</t>
  </si>
  <si>
    <t>Marzooq</t>
  </si>
  <si>
    <t>Barry</t>
  </si>
  <si>
    <t>Mead</t>
  </si>
  <si>
    <t>+1 865-671-5391</t>
  </si>
  <si>
    <t>Mitchell John</t>
  </si>
  <si>
    <t>+1 865-218-5238</t>
  </si>
  <si>
    <t>Lisa</t>
  </si>
  <si>
    <t>Mixner-Ellis</t>
  </si>
  <si>
    <t>Morales</t>
  </si>
  <si>
    <t>Nelson</t>
  </si>
  <si>
    <t>+1 865-765-9834</t>
  </si>
  <si>
    <t>Pennington</t>
  </si>
  <si>
    <t>Poole</t>
  </si>
  <si>
    <t>Rebecca</t>
  </si>
  <si>
    <t>Rudd</t>
  </si>
  <si>
    <t>EI&amp;C Engineering Specialist</t>
  </si>
  <si>
    <t>Sentell</t>
  </si>
  <si>
    <t>Bob</t>
  </si>
  <si>
    <t>Southern</t>
  </si>
  <si>
    <t>English</t>
  </si>
  <si>
    <t>Standifer</t>
  </si>
  <si>
    <t>Still</t>
  </si>
  <si>
    <t>Paul</t>
  </si>
  <si>
    <t>MICHAEL</t>
  </si>
  <si>
    <t>WHITT</t>
  </si>
  <si>
    <t>+1 865-671-5371</t>
  </si>
  <si>
    <t>Wickersham</t>
  </si>
  <si>
    <t>+1 423-424-7240</t>
  </si>
  <si>
    <t>Zekich</t>
  </si>
  <si>
    <t>Cricket lastName</t>
  </si>
  <si>
    <t>Cricket</t>
  </si>
  <si>
    <t>lastName</t>
  </si>
  <si>
    <t>Final Testing</t>
  </si>
  <si>
    <t>+1 423-509-4406</t>
  </si>
  <si>
    <t>McNabb</t>
  </si>
  <si>
    <t>Payne</t>
  </si>
  <si>
    <t>Electric Shop Foreman</t>
  </si>
  <si>
    <t>Controls Engineering Manager</t>
  </si>
  <si>
    <t>+1 423-827-1548</t>
  </si>
  <si>
    <t>elpeterson@astecindustries.com</t>
  </si>
  <si>
    <t>Peterson</t>
  </si>
  <si>
    <t>Brent Pierce</t>
  </si>
  <si>
    <t>bpierce@astecindustries.com</t>
  </si>
  <si>
    <t>Brent</t>
  </si>
  <si>
    <t>Pierce</t>
  </si>
  <si>
    <t>Sales Manager Marine/Naval</t>
  </si>
  <si>
    <t>Senior Engineer - Legacy Products</t>
  </si>
  <si>
    <t>Mike Plankett</t>
  </si>
  <si>
    <t>mplankett@astecinc.com</t>
  </si>
  <si>
    <t>Plankett</t>
  </si>
  <si>
    <t>Adam Rhodes</t>
  </si>
  <si>
    <t>arhodes@astecinc.com</t>
  </si>
  <si>
    <t>Rhodes</t>
  </si>
  <si>
    <t>Richard</t>
  </si>
  <si>
    <t>EE Manager</t>
  </si>
  <si>
    <t>+1 170-194-1088 ext 6</t>
  </si>
  <si>
    <t>Skunberg</t>
  </si>
  <si>
    <t>+1 423-681-1690</t>
  </si>
  <si>
    <t>Tahler</t>
  </si>
  <si>
    <t>+1 423-827-1296</t>
  </si>
  <si>
    <t>+1 423-413-0062</t>
  </si>
  <si>
    <t>Watson</t>
  </si>
  <si>
    <t>Testing and Verification Lead Engineer</t>
  </si>
  <si>
    <t>+1 423-827-1321</t>
  </si>
  <si>
    <t>Marty</t>
  </si>
  <si>
    <t>Williams</t>
  </si>
  <si>
    <t>Misty</t>
  </si>
  <si>
    <t>Buggy Product Leader</t>
  </si>
  <si>
    <t>+1 423-508-1670</t>
  </si>
  <si>
    <t>Caleb</t>
  </si>
  <si>
    <t>Wooten</t>
  </si>
  <si>
    <t>Dumessa</t>
  </si>
  <si>
    <t>Dunnewold</t>
  </si>
  <si>
    <t>BJ French</t>
  </si>
  <si>
    <t>bradley.french@na.denso.com</t>
  </si>
  <si>
    <t>BJ</t>
  </si>
  <si>
    <t>French</t>
  </si>
  <si>
    <t>Peter Gent</t>
  </si>
  <si>
    <t>peter.gent@na.denso.com</t>
  </si>
  <si>
    <t>Peter</t>
  </si>
  <si>
    <t>Gent</t>
  </si>
  <si>
    <t>Alex Glaza</t>
  </si>
  <si>
    <t>alex.glaza@na.denso.com</t>
  </si>
  <si>
    <t>Glaza</t>
  </si>
  <si>
    <t>Brandon</t>
  </si>
  <si>
    <t>Hinson</t>
  </si>
  <si>
    <t>Nik Johnson</t>
  </si>
  <si>
    <t>nik.johnson@na.denso.com</t>
  </si>
  <si>
    <t>Nik</t>
  </si>
  <si>
    <t>Kris</t>
  </si>
  <si>
    <t>Karnoupakis</t>
  </si>
  <si>
    <t>Michael Kidd</t>
  </si>
  <si>
    <t>michael.kidd@na.denso.com</t>
  </si>
  <si>
    <t>Kidd</t>
  </si>
  <si>
    <t>Legg</t>
  </si>
  <si>
    <t>Aaron</t>
  </si>
  <si>
    <t>Alex Nelson</t>
  </si>
  <si>
    <t>alex.nelson@na.denso.com</t>
  </si>
  <si>
    <t>Tony</t>
  </si>
  <si>
    <t>Ngo</t>
  </si>
  <si>
    <t>adam.olukalns@na.denso.com</t>
  </si>
  <si>
    <t>Olukalns</t>
  </si>
  <si>
    <t>John Rutherford</t>
  </si>
  <si>
    <t>john.rutherford@na.denso.com</t>
  </si>
  <si>
    <t>Rutherford</t>
  </si>
  <si>
    <t>Sewell</t>
  </si>
  <si>
    <t>Thomas Shields</t>
  </si>
  <si>
    <t>+1 THO-MAS-SHIE ext LDSNADENSO</t>
  </si>
  <si>
    <t>Shields</t>
  </si>
  <si>
    <t>Electrical Engineering Manager</t>
  </si>
  <si>
    <t>+1 865-982-7000 ext 2936</t>
  </si>
  <si>
    <t>thomas.shields@na.denso.com</t>
  </si>
  <si>
    <t>Electrical Engineering</t>
  </si>
  <si>
    <t>joshua.shoemaker@na.denso.com</t>
  </si>
  <si>
    <t>+1 615-630-1415</t>
  </si>
  <si>
    <t>Shoemaker</t>
  </si>
  <si>
    <t>Electrical Engineer – Electrical Design</t>
  </si>
  <si>
    <t>Elec _ Controls</t>
  </si>
  <si>
    <t>+1 865-982-7000 ext 3750</t>
  </si>
  <si>
    <t>Josh Simerly</t>
  </si>
  <si>
    <t>josh.simerly@na.denso.com</t>
  </si>
  <si>
    <t>Simerly</t>
  </si>
  <si>
    <t>Sims</t>
  </si>
  <si>
    <t>kaelyn.slaughter@na.denso.com</t>
  </si>
  <si>
    <t>Kaelyn</t>
  </si>
  <si>
    <t>Slaughter</t>
  </si>
  <si>
    <t>Maria</t>
  </si>
  <si>
    <t>Spoon</t>
  </si>
  <si>
    <t>Vals</t>
  </si>
  <si>
    <t>Tariku</t>
  </si>
  <si>
    <t>Woldemichael</t>
  </si>
  <si>
    <t>Young</t>
  </si>
  <si>
    <t>Timothy Lessard</t>
  </si>
  <si>
    <t>lessardtl@ornl.gov</t>
  </si>
  <si>
    <t>+1 702-372-8019</t>
  </si>
  <si>
    <t>Timothy</t>
  </si>
  <si>
    <t>Lessard</t>
  </si>
  <si>
    <t>loposserdd@ornl.gov</t>
  </si>
  <si>
    <t>Darren</t>
  </si>
  <si>
    <t>Loposser</t>
  </si>
  <si>
    <t>David McFall</t>
  </si>
  <si>
    <t>mcfalldc@ornl.gov</t>
  </si>
  <si>
    <t>McFall</t>
  </si>
  <si>
    <t>Systems Engineering Group Nonreactor Nuc</t>
  </si>
  <si>
    <t>+1 865-574-2944</t>
  </si>
  <si>
    <t>McVigh</t>
  </si>
  <si>
    <t>Frank Medio</t>
  </si>
  <si>
    <t>mediofc@ornl.gov</t>
  </si>
  <si>
    <t>Frank</t>
  </si>
  <si>
    <t>Medio</t>
  </si>
  <si>
    <t>+1 423-238-7111</t>
  </si>
  <si>
    <t>Sinclair</t>
  </si>
  <si>
    <t>Melanie Smith</t>
  </si>
  <si>
    <t>smithmd2@ornl.gov</t>
  </si>
  <si>
    <t>+1 865-241-6765</t>
  </si>
  <si>
    <t>Melanie</t>
  </si>
  <si>
    <t>+1 865-576-9993</t>
  </si>
  <si>
    <t>Souders</t>
  </si>
  <si>
    <t>Jessica Stevens</t>
  </si>
  <si>
    <t>stevensjd@ornl.gov</t>
  </si>
  <si>
    <t>+1 865-341-2419</t>
  </si>
  <si>
    <t>Jessica</t>
  </si>
  <si>
    <t>Stevens</t>
  </si>
  <si>
    <t>+1 865-946-1207</t>
  </si>
  <si>
    <t>Tapp</t>
  </si>
  <si>
    <t>Kenneth</t>
  </si>
  <si>
    <t>Tobin</t>
  </si>
  <si>
    <t>DIRECTOR</t>
  </si>
  <si>
    <t>+1 865-574-0355</t>
  </si>
  <si>
    <t>RJ</t>
  </si>
  <si>
    <t>Warmack</t>
  </si>
  <si>
    <t>+1 865-574-6202</t>
  </si>
  <si>
    <t>wheatja@ornl.gov</t>
  </si>
  <si>
    <t>Wheat</t>
  </si>
  <si>
    <t>Wilson</t>
  </si>
  <si>
    <t>Senior Tech</t>
  </si>
  <si>
    <t>zinnka@ornl.gov</t>
  </si>
  <si>
    <t>Zinn</t>
  </si>
  <si>
    <t>Bertelkamp Open House</t>
  </si>
  <si>
    <t>10032024</t>
  </si>
  <si>
    <t>jason bell</t>
  </si>
  <si>
    <t>nrt - troubleshooting ups controller</t>
  </si>
  <si>
    <t>Project Update</t>
  </si>
  <si>
    <t>laura nolen</t>
  </si>
  <si>
    <t>rick costa</t>
  </si>
  <si>
    <t>750 project</t>
  </si>
  <si>
    <t>Charles Bruce</t>
  </si>
  <si>
    <t>Hasko Machines Chattanooga, TN</t>
  </si>
  <si>
    <t>cbruce@haskomachines.com</t>
  </si>
  <si>
    <t>Robin Lacasse</t>
  </si>
  <si>
    <t>rlacasse@haskomachines.com</t>
  </si>
  <si>
    <t>+1 423-648-5200 ext 103</t>
  </si>
  <si>
    <t>Josh Watson</t>
  </si>
  <si>
    <t>jwatson@haskomachines.com</t>
  </si>
  <si>
    <t>Charles</t>
  </si>
  <si>
    <t>Controls Engineer</t>
  </si>
  <si>
    <t>+1 423-648-5200 ext X103</t>
  </si>
  <si>
    <t>Robin</t>
  </si>
  <si>
    <t>Lacasse</t>
  </si>
  <si>
    <t>power monitoring</t>
  </si>
  <si>
    <t>ryan ebert</t>
  </si>
  <si>
    <t>bulkhead &amp; power supplies</t>
  </si>
  <si>
    <t>robert jordan</t>
  </si>
  <si>
    <t>configurator training</t>
  </si>
  <si>
    <t>tabitha brown</t>
  </si>
  <si>
    <t>Tabitha Brown</t>
  </si>
  <si>
    <t>tabitha.brown@assurant.com</t>
  </si>
  <si>
    <t>pricing review</t>
  </si>
  <si>
    <t>Jason Haskin</t>
  </si>
  <si>
    <t>j.haskin@pdmcorp.com</t>
  </si>
  <si>
    <t>750 Demo</t>
  </si>
  <si>
    <t>jordan little</t>
  </si>
  <si>
    <t>750 Project</t>
  </si>
  <si>
    <t>KV-8000 
•	Head Module: 750-363
•	4-20mA Analog Input Card, 8 – Channel: 750-496
•	End Module: 750-600</t>
  </si>
  <si>
    <t>matthew bush</t>
  </si>
  <si>
    <t>compact plc application</t>
  </si>
  <si>
    <t>monitoring relay with ct</t>
  </si>
  <si>
    <t>Phoenix SPTD Series conversion</t>
  </si>
  <si>
    <t>matthew craig</t>
  </si>
  <si>
    <t>dray holmes</t>
  </si>
  <si>
    <t>barry carver</t>
  </si>
  <si>
    <t>introduce Laura Nolen</t>
  </si>
  <si>
    <t>steve huhn</t>
  </si>
  <si>
    <t>Quote Overview</t>
  </si>
  <si>
    <t>blake johnson</t>
  </si>
  <si>
    <t>rick hughes</t>
  </si>
  <si>
    <t>chris grindle</t>
  </si>
  <si>
    <t>sam shivy</t>
  </si>
  <si>
    <t>221 Opportunity</t>
  </si>
  <si>
    <t>elick weaver</t>
  </si>
  <si>
    <t>750 opportunity</t>
  </si>
  <si>
    <t>robert bevel</t>
  </si>
  <si>
    <t>Power distribution - new product design</t>
  </si>
  <si>
    <t>panel design review</t>
  </si>
  <si>
    <t>quote review</t>
  </si>
  <si>
    <t>nikki newell</t>
  </si>
  <si>
    <t>Vendor setup - bertelkamp</t>
  </si>
  <si>
    <t>thad sharp</t>
  </si>
  <si>
    <t>285 conversion</t>
  </si>
  <si>
    <t>tony vandiver</t>
  </si>
  <si>
    <t>pcb design support</t>
  </si>
  <si>
    <t>matt ablett</t>
  </si>
  <si>
    <t>Dillon Steen</t>
  </si>
  <si>
    <t>New Design - Wago Conversion - 2nd review</t>
  </si>
  <si>
    <t>New Design - Wago Conversion</t>
  </si>
  <si>
    <t>justin martinez</t>
  </si>
  <si>
    <t>pcb opportunity</t>
  </si>
  <si>
    <t>patrick sullivan</t>
  </si>
  <si>
    <t>target account</t>
  </si>
  <si>
    <t>wago training</t>
  </si>
  <si>
    <t>carl casteel</t>
  </si>
  <si>
    <t>pete moore</t>
  </si>
  <si>
    <t>randy wacasey</t>
  </si>
  <si>
    <t>Nikki Newell</t>
  </si>
  <si>
    <t>Astec - Wilson Road Heatec</t>
  </si>
  <si>
    <t>nnewell@astecindustries.com</t>
  </si>
  <si>
    <t>Scott Roselius</t>
  </si>
  <si>
    <t>sroselius@astecindustries.com</t>
  </si>
  <si>
    <t>Sam Shivy</t>
  </si>
  <si>
    <t>spshivy@astecindustries.com</t>
  </si>
  <si>
    <t>Barry Carver</t>
  </si>
  <si>
    <t>Corley Mfg</t>
  </si>
  <si>
    <t>bcarver@corleymfg.com</t>
  </si>
  <si>
    <t>Dray Holmes</t>
  </si>
  <si>
    <t>dholmes@corleymfg.com</t>
  </si>
  <si>
    <t>Lincoln Electric Automation</t>
  </si>
  <si>
    <t>Christopher_Grindle@LincolnElectric.com</t>
  </si>
  <si>
    <t>Rick Hughes</t>
  </si>
  <si>
    <t>Richard_Hughes@LincolnElectric.com</t>
  </si>
  <si>
    <t>Steve Huhn</t>
  </si>
  <si>
    <t>Steve_Huhn@LincolnElectric.com</t>
  </si>
  <si>
    <t>Blake Johnson</t>
  </si>
  <si>
    <t>Blake_Johnson@LincolnElectric.com</t>
  </si>
  <si>
    <t>Carl Casteel</t>
  </si>
  <si>
    <t>Petsafe</t>
  </si>
  <si>
    <t>ccasteel@petsafe.net</t>
  </si>
  <si>
    <t>Pete Moore</t>
  </si>
  <si>
    <t>pmoore@petsafe.net</t>
  </si>
  <si>
    <t>Randy Wacasey</t>
  </si>
  <si>
    <t>kwacasey@sportdog.net</t>
  </si>
  <si>
    <t>Nikki</t>
  </si>
  <si>
    <t>Newell</t>
  </si>
  <si>
    <t>Purchasing Agent - Integrated Process So</t>
  </si>
  <si>
    <t>Roselius</t>
  </si>
  <si>
    <t>Electrical Engineer - Infrastructure Sys</t>
  </si>
  <si>
    <t>Shivy</t>
  </si>
  <si>
    <t>Carver</t>
  </si>
  <si>
    <t>Electric/Controls Engineer</t>
  </si>
  <si>
    <t>Dray</t>
  </si>
  <si>
    <t>Holmes</t>
  </si>
  <si>
    <t>Head of Projects</t>
  </si>
  <si>
    <t>Assistant Plant Manager</t>
  </si>
  <si>
    <t>Grindle</t>
  </si>
  <si>
    <t>Steve</t>
  </si>
  <si>
    <t>Huhn</t>
  </si>
  <si>
    <t>Blake</t>
  </si>
  <si>
    <t>Carl</t>
  </si>
  <si>
    <t>Casteel</t>
  </si>
  <si>
    <t>Pete</t>
  </si>
  <si>
    <t>Moore</t>
  </si>
  <si>
    <t>Wacasey</t>
  </si>
  <si>
    <t>Tabitha</t>
  </si>
  <si>
    <t>Brown</t>
  </si>
  <si>
    <t>Haskin</t>
  </si>
  <si>
    <t>Chris Grindle</t>
  </si>
  <si>
    <t>Thad Sharp</t>
  </si>
  <si>
    <t>psharp@astecindustries.com</t>
  </si>
  <si>
    <t>423-827-1527</t>
  </si>
  <si>
    <t>Thad</t>
  </si>
  <si>
    <t>Sharp</t>
  </si>
  <si>
    <t>Matthew Bush</t>
  </si>
  <si>
    <t>Hirebotics</t>
  </si>
  <si>
    <t>mbush@hirebotics.com</t>
  </si>
  <si>
    <t>Air and Hydraulic Equipment AHE</t>
  </si>
  <si>
    <t>Elick Weaver</t>
  </si>
  <si>
    <t>eweaver@aheinfo.com</t>
  </si>
  <si>
    <t>Bruce Bloomster</t>
  </si>
  <si>
    <t>Bohr Electronics</t>
  </si>
  <si>
    <t>bbloomster@bohr.com</t>
  </si>
  <si>
    <t>Seth Cullers</t>
  </si>
  <si>
    <t>seth@bohr.com</t>
  </si>
  <si>
    <t>Franklin Gifford</t>
  </si>
  <si>
    <t>fgifford@bohr.com</t>
  </si>
  <si>
    <t>DJ Greenwood</t>
  </si>
  <si>
    <t>Djgreenwood@bohr.com</t>
  </si>
  <si>
    <t>Trent Houl</t>
  </si>
  <si>
    <t>thoul@bohr.com</t>
  </si>
  <si>
    <t>Nick King</t>
  </si>
  <si>
    <t>nking@bohr.com</t>
  </si>
  <si>
    <t>Dan Myers</t>
  </si>
  <si>
    <t>danmyers@bohr.com</t>
  </si>
  <si>
    <t>Rickey Pace</t>
  </si>
  <si>
    <t>rpace@bohr.com</t>
  </si>
  <si>
    <t>Thomas Powell</t>
  </si>
  <si>
    <t>tpowell@bohr.com</t>
  </si>
  <si>
    <t>Ken Rhudy</t>
  </si>
  <si>
    <t>krhudy@bohr.com</t>
  </si>
  <si>
    <t>Hunter Richards</t>
  </si>
  <si>
    <t>hrichards@bohr.com</t>
  </si>
  <si>
    <t>Bill Rule</t>
  </si>
  <si>
    <t>brule@bohr.com</t>
  </si>
  <si>
    <t>dsteen@bohr.com</t>
  </si>
  <si>
    <t>Bush</t>
  </si>
  <si>
    <t>Head of Engin./Resea./Develop.</t>
  </si>
  <si>
    <t>COO/Co-Founder</t>
  </si>
  <si>
    <t>+1 615-479-6151</t>
  </si>
  <si>
    <t>Head of Production/Maintenance</t>
  </si>
  <si>
    <t>LaFollette</t>
  </si>
  <si>
    <t>+1 423-756-2000</t>
  </si>
  <si>
    <t>Elick</t>
  </si>
  <si>
    <t>Weaver</t>
  </si>
  <si>
    <t>Bloomster</t>
  </si>
  <si>
    <t>Sales Director</t>
  </si>
  <si>
    <t>+1 423-834-0041</t>
  </si>
  <si>
    <t>Seth</t>
  </si>
  <si>
    <t>Cullers</t>
  </si>
  <si>
    <t>SALES</t>
  </si>
  <si>
    <t>Franklin</t>
  </si>
  <si>
    <t>Gifford</t>
  </si>
  <si>
    <t>Cabling Tech</t>
  </si>
  <si>
    <t>Greenwood</t>
  </si>
  <si>
    <t>Cabinet Tech</t>
  </si>
  <si>
    <t>Trent</t>
  </si>
  <si>
    <t>Houl</t>
  </si>
  <si>
    <t>King</t>
  </si>
  <si>
    <t>DIRECTOR OF QUALITY ASSURANCE</t>
  </si>
  <si>
    <t>Rickey</t>
  </si>
  <si>
    <t>Pace</t>
  </si>
  <si>
    <t>Foreman</t>
  </si>
  <si>
    <t>Powell</t>
  </si>
  <si>
    <t>Lab Tech</t>
  </si>
  <si>
    <t>Rhudy</t>
  </si>
  <si>
    <t>R&amp;D Engineer</t>
  </si>
  <si>
    <t>Richards</t>
  </si>
  <si>
    <t>Rule</t>
  </si>
  <si>
    <t>Dillon</t>
  </si>
  <si>
    <t>Steen</t>
  </si>
  <si>
    <t>BUSINESS DEVELOPMENT MANAGER FREIGHT</t>
  </si>
  <si>
    <t>Andy Cornwell</t>
  </si>
  <si>
    <t>STULZ AIR TECHNOLOGY SYSTEMS, INC. ATTN: RECEIVING</t>
  </si>
  <si>
    <t>acornwell@stulz-ats.com</t>
  </si>
  <si>
    <t>+1 704-589-0770</t>
  </si>
  <si>
    <t>Brandy Curtin</t>
  </si>
  <si>
    <t>Cornwell</t>
  </si>
  <si>
    <t>+1 301-620-2033 ext 1862</t>
  </si>
  <si>
    <t>Brandy</t>
  </si>
  <si>
    <t>Curtin</t>
  </si>
  <si>
    <t>Focus Factory Buyer/Planner</t>
  </si>
  <si>
    <t>+1 240-529-1335</t>
  </si>
  <si>
    <t>Matt Ablett</t>
  </si>
  <si>
    <t>mablett@bohr.com</t>
  </si>
  <si>
    <t>+1 904-710-9834</t>
  </si>
  <si>
    <t>Brandon Gore</t>
  </si>
  <si>
    <t>bgore@bohr.com</t>
  </si>
  <si>
    <t>+1 407-406-2433</t>
  </si>
  <si>
    <t>Electrical Department Manager last</t>
  </si>
  <si>
    <t>ruleb1@bohr.com</t>
  </si>
  <si>
    <t>+1 423-314-2714</t>
  </si>
  <si>
    <t>Ablett</t>
  </si>
  <si>
    <t>Designer</t>
  </si>
  <si>
    <t>Gore</t>
  </si>
  <si>
    <t>BOM/Wiring List Maintainer</t>
  </si>
  <si>
    <t>Electrical Department Manager</t>
  </si>
  <si>
    <t>last</t>
  </si>
  <si>
    <t>Kevin Edmondson</t>
  </si>
  <si>
    <t>Blue Line Solutions</t>
  </si>
  <si>
    <t>kedmondson@bluelinesolutions.org</t>
  </si>
  <si>
    <t>+1 423-227-5244</t>
  </si>
  <si>
    <t>Edmondson</t>
  </si>
  <si>
    <t>VP</t>
  </si>
  <si>
    <t>+1 423-287-5287</t>
  </si>
  <si>
    <t>Tony Vandiver</t>
  </si>
  <si>
    <t>tony@traceelectronics.com</t>
  </si>
  <si>
    <t>+1 423-618-9260</t>
  </si>
  <si>
    <t>Vandiver</t>
  </si>
  <si>
    <t>Lunch N Learn (first visit)</t>
  </si>
  <si>
    <t>Design meeting</t>
  </si>
  <si>
    <t>john leatherman</t>
  </si>
  <si>
    <t>james pudney</t>
  </si>
  <si>
    <t>Custom TJS Assembly</t>
  </si>
  <si>
    <t>nicolas noakes</t>
  </si>
  <si>
    <t>Darryl Noakes</t>
  </si>
  <si>
    <t>Bradley Pudney</t>
  </si>
  <si>
    <t>Luke Pudney</t>
  </si>
  <si>
    <t>darryl Noakes</t>
  </si>
  <si>
    <t>Wired4Signs USA Powell, TN</t>
  </si>
  <si>
    <t>darryl@w4susa.com</t>
  </si>
  <si>
    <t>darryl</t>
  </si>
  <si>
    <t>Noakes</t>
  </si>
  <si>
    <t>Nicolas Noakes</t>
  </si>
  <si>
    <t>nicolas@w4susa.com</t>
  </si>
  <si>
    <t>Nicolas</t>
  </si>
  <si>
    <t>Eddie notGiven</t>
  </si>
  <si>
    <t>eddie@wire4signs.com</t>
  </si>
  <si>
    <t>notGiven</t>
  </si>
  <si>
    <t>bradley@w4usa.com</t>
  </si>
  <si>
    <t>Pudney</t>
  </si>
  <si>
    <t>James Pudney</t>
  </si>
  <si>
    <t>james@w4usa.com</t>
  </si>
  <si>
    <t>+1 865-306-7402</t>
  </si>
  <si>
    <t>luke@w4usa.com</t>
  </si>
  <si>
    <t>10162024</t>
  </si>
  <si>
    <t>10152024</t>
  </si>
  <si>
    <t>10022024</t>
  </si>
  <si>
    <t>10302024</t>
  </si>
  <si>
    <t>09242024</t>
  </si>
  <si>
    <t>09182024</t>
  </si>
  <si>
    <t>09252024</t>
  </si>
  <si>
    <t>09302024</t>
  </si>
  <si>
    <t>09262024</t>
  </si>
  <si>
    <t>10092024</t>
  </si>
  <si>
    <t>10112024</t>
  </si>
  <si>
    <t>10212024</t>
  </si>
  <si>
    <t>11072024</t>
  </si>
  <si>
    <t>12182024</t>
  </si>
  <si>
    <t>12052024</t>
  </si>
  <si>
    <t>12042024</t>
  </si>
  <si>
    <t>11252024</t>
  </si>
  <si>
    <t>11192024</t>
  </si>
  <si>
    <t>1107 2024</t>
  </si>
  <si>
    <t>10252024</t>
  </si>
  <si>
    <t>120169548</t>
  </si>
  <si>
    <t>Advanced Engineering</t>
  </si>
  <si>
    <t>08012024</t>
  </si>
  <si>
    <t>08062024</t>
  </si>
  <si>
    <t>08072024</t>
  </si>
  <si>
    <t>08132024</t>
  </si>
  <si>
    <t>07222024</t>
  </si>
  <si>
    <t>07292024</t>
  </si>
  <si>
    <t>09052024</t>
  </si>
  <si>
    <t>09192024</t>
  </si>
  <si>
    <t>09202024</t>
  </si>
  <si>
    <t>09232024</t>
  </si>
  <si>
    <t>09172024</t>
  </si>
  <si>
    <t>092520242024</t>
  </si>
  <si>
    <t>091720242024</t>
  </si>
  <si>
    <t>080120242024</t>
  </si>
  <si>
    <t>Steve Kelly</t>
  </si>
  <si>
    <t>Tom Busch-Sorensen</t>
  </si>
  <si>
    <t>07232024</t>
  </si>
  <si>
    <t>852 support</t>
  </si>
  <si>
    <t>lean managed switch support</t>
  </si>
  <si>
    <t>custom relay opportunity</t>
  </si>
  <si>
    <t>852 and tjs opportunity</t>
  </si>
  <si>
    <t>wago configurator training</t>
  </si>
  <si>
    <t>tjs opportunity</t>
  </si>
  <si>
    <t>customer check in</t>
  </si>
  <si>
    <t>01232025</t>
  </si>
  <si>
    <t>01072025</t>
  </si>
  <si>
    <t>01222025</t>
  </si>
  <si>
    <t>01272025</t>
  </si>
  <si>
    <t>01242025</t>
  </si>
  <si>
    <t>Ada</t>
  </si>
  <si>
    <t>Waldorf</t>
  </si>
  <si>
    <t>Art</t>
  </si>
  <si>
    <t>Brenda</t>
  </si>
  <si>
    <t>Keitzer</t>
  </si>
  <si>
    <t>Bhardwaj</t>
  </si>
  <si>
    <t>Parvatam</t>
  </si>
  <si>
    <t>Weidner</t>
  </si>
  <si>
    <t>Cochran</t>
  </si>
  <si>
    <t>Chip</t>
  </si>
  <si>
    <t>Keeler</t>
  </si>
  <si>
    <t>Court</t>
  </si>
  <si>
    <t>Rush</t>
  </si>
  <si>
    <t>Cal</t>
  </si>
  <si>
    <t>Carr</t>
  </si>
  <si>
    <t>Daphne</t>
  </si>
  <si>
    <t>Berg</t>
  </si>
  <si>
    <t>Don</t>
  </si>
  <si>
    <t>Blackwell</t>
  </si>
  <si>
    <t>Cacibauda</t>
  </si>
  <si>
    <t>Earle</t>
  </si>
  <si>
    <t>Dawn</t>
  </si>
  <si>
    <t>Havenslutz</t>
  </si>
  <si>
    <t>Ketron</t>
  </si>
  <si>
    <t>Reynolds</t>
  </si>
  <si>
    <t>Debbie</t>
  </si>
  <si>
    <t>Rivard</t>
  </si>
  <si>
    <t>Darryl</t>
  </si>
  <si>
    <t>Ruark</t>
  </si>
  <si>
    <t>Junge</t>
  </si>
  <si>
    <t>Elva</t>
  </si>
  <si>
    <t>Oaxaca</t>
  </si>
  <si>
    <t>Rtrott</t>
  </si>
  <si>
    <t>Eloy</t>
  </si>
  <si>
    <t>Saenz</t>
  </si>
  <si>
    <t>Florin</t>
  </si>
  <si>
    <t>Gavrilut</t>
  </si>
  <si>
    <t>Gilberto</t>
  </si>
  <si>
    <t>Chavez</t>
  </si>
  <si>
    <t>Gail</t>
  </si>
  <si>
    <t>Doss</t>
  </si>
  <si>
    <t>Giovanna</t>
  </si>
  <si>
    <t>Pinson</t>
  </si>
  <si>
    <t>Henry</t>
  </si>
  <si>
    <t>Koszarsky</t>
  </si>
  <si>
    <t>Harry</t>
  </si>
  <si>
    <t>Guio</t>
  </si>
  <si>
    <t>Hodson</t>
  </si>
  <si>
    <t>Huffines</t>
  </si>
  <si>
    <t>Caudill</t>
  </si>
  <si>
    <t>Barring</t>
  </si>
  <si>
    <t>Blaylock</t>
  </si>
  <si>
    <t>Bogart</t>
  </si>
  <si>
    <t>Josey</t>
  </si>
  <si>
    <t>Jennifer</t>
  </si>
  <si>
    <t>Carter</t>
  </si>
  <si>
    <t>Guisinger</t>
  </si>
  <si>
    <t>Ligon</t>
  </si>
  <si>
    <t>Breeland</t>
  </si>
  <si>
    <t>Quinlan</t>
  </si>
  <si>
    <t>Riopelle</t>
  </si>
  <si>
    <t>Jorge</t>
  </si>
  <si>
    <t>Tarango</t>
  </si>
  <si>
    <t>Ralph</t>
  </si>
  <si>
    <t>Darnall</t>
  </si>
  <si>
    <t>Hammonds</t>
  </si>
  <si>
    <t>Hunt</t>
  </si>
  <si>
    <t>Larry</t>
  </si>
  <si>
    <t>Lysinger</t>
  </si>
  <si>
    <t>Manny</t>
  </si>
  <si>
    <t>Arellano</t>
  </si>
  <si>
    <t>Head</t>
  </si>
  <si>
    <t>Marvin</t>
  </si>
  <si>
    <t>Perhne</t>
  </si>
  <si>
    <t>Sager</t>
  </si>
  <si>
    <t>Wilczynski</t>
  </si>
  <si>
    <t>Noelle</t>
  </si>
  <si>
    <t>Brigham</t>
  </si>
  <si>
    <t>Nicole</t>
  </si>
  <si>
    <t>Dana</t>
  </si>
  <si>
    <t>Gill</t>
  </si>
  <si>
    <t>Pravin</t>
  </si>
  <si>
    <t>Mallavarpu</t>
  </si>
  <si>
    <t>Sanmiguel</t>
  </si>
  <si>
    <t>Songer</t>
  </si>
  <si>
    <t>Aldrich</t>
  </si>
  <si>
    <t>Rondal</t>
  </si>
  <si>
    <t>Wling</t>
  </si>
  <si>
    <t>Grizzle</t>
  </si>
  <si>
    <t>Joynor</t>
  </si>
  <si>
    <t>Messina</t>
  </si>
  <si>
    <t>Rhett</t>
  </si>
  <si>
    <t>Ridings</t>
  </si>
  <si>
    <t>Syler</t>
  </si>
  <si>
    <t>Guffy</t>
  </si>
  <si>
    <t>Sheila</t>
  </si>
  <si>
    <t>Burnette</t>
  </si>
  <si>
    <t>Rnette</t>
  </si>
  <si>
    <t>Susan</t>
  </si>
  <si>
    <t>Durham</t>
  </si>
  <si>
    <t>Sara</t>
  </si>
  <si>
    <t>Harricharan</t>
  </si>
  <si>
    <t>Schuckman</t>
  </si>
  <si>
    <t>Kory</t>
  </si>
  <si>
    <t>Shannon</t>
  </si>
  <si>
    <t>Vince</t>
  </si>
  <si>
    <t>Stockdell</t>
  </si>
  <si>
    <t>Weller</t>
  </si>
  <si>
    <t>Silvey</t>
  </si>
  <si>
    <t>Yeriel</t>
  </si>
  <si>
    <t>Gonzalez</t>
  </si>
  <si>
    <t>Massey</t>
  </si>
  <si>
    <t>Hines</t>
  </si>
  <si>
    <t>Chioma</t>
  </si>
  <si>
    <t>Aladi</t>
  </si>
  <si>
    <t>Grant</t>
  </si>
  <si>
    <t>Luna</t>
  </si>
  <si>
    <t>Nic</t>
  </si>
  <si>
    <t>Pederson</t>
  </si>
  <si>
    <t>Beatrice</t>
  </si>
  <si>
    <t>Clifton</t>
  </si>
  <si>
    <t>Wilder</t>
  </si>
  <si>
    <t>Key</t>
  </si>
  <si>
    <t>Carpenter</t>
  </si>
  <si>
    <t>Givens</t>
  </si>
  <si>
    <t>Trevor</t>
  </si>
  <si>
    <t>Honeywill</t>
  </si>
  <si>
    <t>Seagroatt</t>
  </si>
  <si>
    <t>Andreas</t>
  </si>
  <si>
    <t>Hauswirth</t>
  </si>
  <si>
    <t>Angelica</t>
  </si>
  <si>
    <t>Mendoza</t>
  </si>
  <si>
    <t>Ashish</t>
  </si>
  <si>
    <t>Kamath</t>
  </si>
  <si>
    <t>Candice</t>
  </si>
  <si>
    <t>Monhollon</t>
  </si>
  <si>
    <t>Caroline</t>
  </si>
  <si>
    <t>Cormier</t>
  </si>
  <si>
    <t>Clif</t>
  </si>
  <si>
    <t>Casipit</t>
  </si>
  <si>
    <t>Damian</t>
  </si>
  <si>
    <t>Orleanski</t>
  </si>
  <si>
    <t>Dayanna</t>
  </si>
  <si>
    <t>Ferrer</t>
  </si>
  <si>
    <t>Doug</t>
  </si>
  <si>
    <t>Erin</t>
  </si>
  <si>
    <t>Harrell</t>
  </si>
  <si>
    <t>Gerardo</t>
  </si>
  <si>
    <t>Camacho</t>
  </si>
  <si>
    <t>Jaime</t>
  </si>
  <si>
    <t>Deguzman</t>
  </si>
  <si>
    <t>Zeltner</t>
  </si>
  <si>
    <t>Julian</t>
  </si>
  <si>
    <t>Kacper</t>
  </si>
  <si>
    <t>Maleta</t>
  </si>
  <si>
    <t>Strickland</t>
  </si>
  <si>
    <t>Leslie</t>
  </si>
  <si>
    <t>Sunthonthip</t>
  </si>
  <si>
    <t>Levi</t>
  </si>
  <si>
    <t>Lindsey</t>
  </si>
  <si>
    <t>Luz</t>
  </si>
  <si>
    <t>Zapata</t>
  </si>
  <si>
    <t>Markus</t>
  </si>
  <si>
    <t>Hodel</t>
  </si>
  <si>
    <t>Mateusz</t>
  </si>
  <si>
    <t>Braminski</t>
  </si>
  <si>
    <t>Megan</t>
  </si>
  <si>
    <t>Sargent</t>
  </si>
  <si>
    <t>Starr</t>
  </si>
  <si>
    <t>Whitehead</t>
  </si>
  <si>
    <t>Pankti</t>
  </si>
  <si>
    <t>Mehta</t>
  </si>
  <si>
    <t>Stewart</t>
  </si>
  <si>
    <t>Dugan</t>
  </si>
  <si>
    <t>Ross</t>
  </si>
  <si>
    <t>Sabrina</t>
  </si>
  <si>
    <t>Chorpenning</t>
  </si>
  <si>
    <t>Sataphorn</t>
  </si>
  <si>
    <t>Sayaseng</t>
  </si>
  <si>
    <t>Shane</t>
  </si>
  <si>
    <t>Macneall</t>
  </si>
  <si>
    <t>Halcomb</t>
  </si>
  <si>
    <t>Haug</t>
  </si>
  <si>
    <t>Schwegler</t>
  </si>
  <si>
    <t>Tiffany</t>
  </si>
  <si>
    <t>Curry</t>
  </si>
  <si>
    <t>Field</t>
  </si>
  <si>
    <t>Welcome</t>
  </si>
  <si>
    <t>Wong</t>
  </si>
  <si>
    <t>Wyatt</t>
  </si>
  <si>
    <t>Yeater</t>
  </si>
  <si>
    <t>Personett</t>
  </si>
  <si>
    <t>Lay</t>
  </si>
  <si>
    <t>Briab</t>
  </si>
  <si>
    <t>Bostic</t>
  </si>
  <si>
    <t>Bryce</t>
  </si>
  <si>
    <t>Foust</t>
  </si>
  <si>
    <t>Coleman</t>
  </si>
  <si>
    <t>Cecil</t>
  </si>
  <si>
    <t>Grayson</t>
  </si>
  <si>
    <t>Buttram</t>
  </si>
  <si>
    <t>Evans</t>
  </si>
  <si>
    <t>Ron</t>
  </si>
  <si>
    <t>Steven</t>
  </si>
  <si>
    <t>Asberry</t>
  </si>
  <si>
    <t>Ana Luisa</t>
  </si>
  <si>
    <t>Ruiz Holguin</t>
  </si>
  <si>
    <t>Clint</t>
  </si>
  <si>
    <t>Hallcox</t>
  </si>
  <si>
    <t>Ernesto</t>
  </si>
  <si>
    <t>Veliz</t>
  </si>
  <si>
    <t>Enzo</t>
  </si>
  <si>
    <t>Belziti</t>
  </si>
  <si>
    <t>Luis</t>
  </si>
  <si>
    <t>Lemathtutor</t>
  </si>
  <si>
    <t>Ruben</t>
  </si>
  <si>
    <t>Garcia</t>
  </si>
  <si>
    <t>Henley</t>
  </si>
  <si>
    <t>Jay</t>
  </si>
  <si>
    <t>Farmer</t>
  </si>
  <si>
    <t>Parker</t>
  </si>
  <si>
    <t>Melcher</t>
  </si>
  <si>
    <t>Nugent</t>
  </si>
  <si>
    <t>Brooks</t>
  </si>
  <si>
    <t>Trythall</t>
  </si>
  <si>
    <t>Kauffman</t>
  </si>
  <si>
    <t>Anastasia</t>
  </si>
  <si>
    <t>Marie Lindsey</t>
  </si>
  <si>
    <t>Crowell</t>
  </si>
  <si>
    <t>Seider</t>
  </si>
  <si>
    <t>Carson</t>
  </si>
  <si>
    <t>Lively</t>
  </si>
  <si>
    <t>Sherman</t>
  </si>
  <si>
    <t>Felipe</t>
  </si>
  <si>
    <t>Heming</t>
  </si>
  <si>
    <t>Dai</t>
  </si>
  <si>
    <t>Harold</t>
  </si>
  <si>
    <t>Mosley</t>
  </si>
  <si>
    <t>Issac</t>
  </si>
  <si>
    <t>Castaneda</t>
  </si>
  <si>
    <t>Johnny</t>
  </si>
  <si>
    <t>Johnnie</t>
  </si>
  <si>
    <t>Mchenry</t>
  </si>
  <si>
    <t>Jodi</t>
  </si>
  <si>
    <t>Peer</t>
  </si>
  <si>
    <t>Snell</t>
  </si>
  <si>
    <t>Swanson</t>
  </si>
  <si>
    <t>Tharp</t>
  </si>
  <si>
    <t>Leonard</t>
  </si>
  <si>
    <t>Allen</t>
  </si>
  <si>
    <t>Aulich</t>
  </si>
  <si>
    <t>Michele</t>
  </si>
  <si>
    <t>Sitzberger</t>
  </si>
  <si>
    <t>Strader</t>
  </si>
  <si>
    <t>Bonds</t>
  </si>
  <si>
    <t>Roxana</t>
  </si>
  <si>
    <t>Hernandez</t>
  </si>
  <si>
    <t>Sergio</t>
  </si>
  <si>
    <t>Marroquin</t>
  </si>
  <si>
    <t>Matre</t>
  </si>
  <si>
    <t>Mullins</t>
  </si>
  <si>
    <t>Benjamin</t>
  </si>
  <si>
    <t>Fredericks</t>
  </si>
  <si>
    <t>Gillham</t>
  </si>
  <si>
    <t>Drew</t>
  </si>
  <si>
    <t>Kashef</t>
  </si>
  <si>
    <t>Martin</t>
  </si>
  <si>
    <t>Chilton</t>
  </si>
  <si>
    <t>Cantrell</t>
  </si>
  <si>
    <t>Chikao</t>
  </si>
  <si>
    <t>Hirata</t>
  </si>
  <si>
    <t>Ray</t>
  </si>
  <si>
    <t>Andrasko</t>
  </si>
  <si>
    <t>Montandon</t>
  </si>
  <si>
    <t>Jonathan</t>
  </si>
  <si>
    <t>Ramos</t>
  </si>
  <si>
    <t>Hiroshi</t>
  </si>
  <si>
    <t>Kume</t>
  </si>
  <si>
    <t>Shojiro</t>
  </si>
  <si>
    <t>Nakano</t>
  </si>
  <si>
    <t>Kunihiro</t>
  </si>
  <si>
    <t>Nishihara</t>
  </si>
  <si>
    <t>Renee</t>
  </si>
  <si>
    <t>Byrom</t>
  </si>
  <si>
    <t>Lewis</t>
  </si>
  <si>
    <t>Shido</t>
  </si>
  <si>
    <t>AO Smith Water Products</t>
  </si>
  <si>
    <t>Brunswick Corporation</t>
  </si>
  <si>
    <t>COMPUTATIONAL SYSTEMS, INC</t>
  </si>
  <si>
    <t>Franke Coffee Systems Americas LLC</t>
  </si>
  <si>
    <t>GREAT DANE LLC</t>
  </si>
  <si>
    <t>Heil Trailer International, LLC</t>
  </si>
  <si>
    <t>LASKO PRODUCTS, LLC</t>
  </si>
  <si>
    <t>LEAR CORPORATION</t>
  </si>
  <si>
    <t>Mueller Co. LLC</t>
  </si>
  <si>
    <t>SL Tennessee, LLC</t>
  </si>
  <si>
    <t>Teledyne Technologies Incorporated</t>
  </si>
  <si>
    <t>YOROZU AUTOMOTIVE TENNESSEE, INC.</t>
  </si>
  <si>
    <t>asanders@hotwater.com</t>
  </si>
  <si>
    <t>awaldorf@hotwater.com</t>
  </si>
  <si>
    <t>awalker@hotwater.com</t>
  </si>
  <si>
    <t>bkeitzer@hotwater.com</t>
  </si>
  <si>
    <t>bparvatam@aosmith.com</t>
  </si>
  <si>
    <t>brian.weidner@aosmith.com</t>
  </si>
  <si>
    <t>btaylor@aosmith.com</t>
  </si>
  <si>
    <t>ccochran@hotwater.com</t>
  </si>
  <si>
    <t>ckeeler@aosmith.com</t>
  </si>
  <si>
    <t>crush@hotwater.com</t>
  </si>
  <si>
    <t>cxcarr@hotwater.com</t>
  </si>
  <si>
    <t>dberg@hotwater.com</t>
  </si>
  <si>
    <t>dblackwell@aosmith.com</t>
  </si>
  <si>
    <t>dcacibauda@aosmith.com</t>
  </si>
  <si>
    <t>dearle@hotwater.com</t>
  </si>
  <si>
    <t>dgonzales@aosmith.com</t>
  </si>
  <si>
    <t>dhavenslutz@aosmith.com</t>
  </si>
  <si>
    <t>dketron@hotwater.com</t>
  </si>
  <si>
    <t>dreynolds@hotwater.com</t>
  </si>
  <si>
    <t>drivard@aosmith.com</t>
  </si>
  <si>
    <t>druark@hotwater.com</t>
  </si>
  <si>
    <t>dwjunge@hotwater.com</t>
  </si>
  <si>
    <t>eoaxaca@hotwater.com</t>
  </si>
  <si>
    <t>ertrott@hotwater.com</t>
  </si>
  <si>
    <t>esaenz@hotwater.com</t>
  </si>
  <si>
    <t>fgavrilut@hotwater.com</t>
  </si>
  <si>
    <t>gchavez@hotwater.com</t>
  </si>
  <si>
    <t>gdoss@aosmith.com</t>
  </si>
  <si>
    <t>gpinson@aosmith.com</t>
  </si>
  <si>
    <t>gsmith@hotwater.com</t>
  </si>
  <si>
    <t>henry.koszarsky@aosmith.com</t>
  </si>
  <si>
    <t>hguio@aosmith.com</t>
  </si>
  <si>
    <t>hodson@aosmith.com</t>
  </si>
  <si>
    <t>huffines@aosmith.com</t>
  </si>
  <si>
    <t>jacaudill@hotwater.com</t>
  </si>
  <si>
    <t>jbarring@aosmith.com</t>
  </si>
  <si>
    <t>jblaylock@hotwater.com</t>
  </si>
  <si>
    <t>jbogart@aosmith.com</t>
  </si>
  <si>
    <t>jdjosey@hotwater.com</t>
  </si>
  <si>
    <t>jecarter@hotwater.com</t>
  </si>
  <si>
    <t>jguisinger@hotwater.com</t>
  </si>
  <si>
    <t>jligon@hotwater.com</t>
  </si>
  <si>
    <t>jpbreeland@hotwater.com</t>
  </si>
  <si>
    <t>jquinlan@hotwater.com</t>
  </si>
  <si>
    <t>jriopelle@hotwater.com</t>
  </si>
  <si>
    <t>jtarango@hotwater.com</t>
  </si>
  <si>
    <t>jtralph@hotwater.com</t>
  </si>
  <si>
    <t>ldarnall@hotwater.com</t>
  </si>
  <si>
    <t>lhammonds@hotwater.com</t>
  </si>
  <si>
    <t>lhunt@hotwater.com</t>
  </si>
  <si>
    <t>llysinger@hotwater.com</t>
  </si>
  <si>
    <t>marellano@aosmith.com</t>
  </si>
  <si>
    <t>mcopeland@aosmith.com</t>
  </si>
  <si>
    <t>mhead@hotwater.com</t>
  </si>
  <si>
    <t>mperhne@hotwater.com</t>
  </si>
  <si>
    <t>msager@hotwater.com</t>
  </si>
  <si>
    <t>mwilczynski@hotwater.com</t>
  </si>
  <si>
    <t>noelle.brigham@aosmith.com</t>
  </si>
  <si>
    <t>nrodriguez@hotwater.com</t>
  </si>
  <si>
    <t>pdana@hotwater.com</t>
  </si>
  <si>
    <t>pgill@hotwater.com</t>
  </si>
  <si>
    <t>pmallavarpu@aosmith.com</t>
  </si>
  <si>
    <t>psanmiguel@aosmith.com</t>
  </si>
  <si>
    <t>psonger@aosmith.com</t>
  </si>
  <si>
    <t>raldrich@hotwater.com</t>
  </si>
  <si>
    <t>rbowling@hotwater.com</t>
  </si>
  <si>
    <t>rgrizzle@aosmith.com</t>
  </si>
  <si>
    <t>rjoynor@hotwater.com</t>
  </si>
  <si>
    <t>rmessina@aosmith.com</t>
  </si>
  <si>
    <t>rridings@aosmith.com</t>
  </si>
  <si>
    <t>rsyler@hotwater.com</t>
  </si>
  <si>
    <t>ryan.guffy@aosmith.com</t>
  </si>
  <si>
    <t>sburnette@aosmith.com</t>
  </si>
  <si>
    <t>sburnette@hotwater.com</t>
  </si>
  <si>
    <t>sdurham@hotwater.com</t>
  </si>
  <si>
    <t>sharricharan@hotwater.com</t>
  </si>
  <si>
    <t>skory@aosmith.com</t>
  </si>
  <si>
    <t>tswalker@hotwater.com</t>
  </si>
  <si>
    <t>vstockdell@aosmith.com</t>
  </si>
  <si>
    <t>weller@aosmith.com</t>
  </si>
  <si>
    <t>wsilvey@hotwater.com</t>
  </si>
  <si>
    <t>ygonzalez@aosmith.com</t>
  </si>
  <si>
    <t>barry.massey@searay.com</t>
  </si>
  <si>
    <t>brian.hines@brunswick.com</t>
  </si>
  <si>
    <t>chioma.aladi@brunswick.com</t>
  </si>
  <si>
    <t>grant.luna@brunswick.com</t>
  </si>
  <si>
    <t>nic.pederson@brunswickboatgroup.com</t>
  </si>
  <si>
    <t>bclifton@emerson.com</t>
  </si>
  <si>
    <t>brent.wilder@emerson.com</t>
  </si>
  <si>
    <t>sean.key@emerson.com</t>
  </si>
  <si>
    <t>terry.carpenter@frco.com</t>
  </si>
  <si>
    <t>tgivens@emerson.com</t>
  </si>
  <si>
    <t>trevor.honeywill@emerson.com</t>
  </si>
  <si>
    <t>alan.seagroatt@franke.com</t>
  </si>
  <si>
    <t>andreas.hauswirth@franke.com</t>
  </si>
  <si>
    <t>angelica.mendoza@franke.com</t>
  </si>
  <si>
    <t>ashish.kamath@franke.com</t>
  </si>
  <si>
    <t>bill.wilson@franke.com</t>
  </si>
  <si>
    <t>candice.monhollon@franke.com</t>
  </si>
  <si>
    <t>caroline.cormier@franke.com</t>
  </si>
  <si>
    <t>clif.casipit@franke.com</t>
  </si>
  <si>
    <t>courtney.williams@franke.com</t>
  </si>
  <si>
    <t>damian.orleanski@franke.com</t>
  </si>
  <si>
    <t>dayanna.ferrer@franke.com</t>
  </si>
  <si>
    <t>doug.smith@franke.com</t>
  </si>
  <si>
    <t>erin.harrell@franke.com</t>
  </si>
  <si>
    <t>gerardo.camacho@franke.com</t>
  </si>
  <si>
    <t>jaime.deguzman@franke.com</t>
  </si>
  <si>
    <t>joe.zeltner@franke.com</t>
  </si>
  <si>
    <t>jose.thomas@franke.com</t>
  </si>
  <si>
    <t>julian.gomez@franke.com</t>
  </si>
  <si>
    <t>kacper.maleta@franke.com</t>
  </si>
  <si>
    <t>kevin.strickland@franke.com</t>
  </si>
  <si>
    <t>leslie.sunthonthip@franke.com</t>
  </si>
  <si>
    <t>levi.carter@franke.com</t>
  </si>
  <si>
    <t>lindsey.jackson@franke.com</t>
  </si>
  <si>
    <t>luz.zapata@franke.com</t>
  </si>
  <si>
    <t>markus.hodel@franke.com</t>
  </si>
  <si>
    <t>mateusz.braminski@franke.com</t>
  </si>
  <si>
    <t>megan.sargent@franke.com</t>
  </si>
  <si>
    <t>michael.starr@franke.com</t>
  </si>
  <si>
    <t>nathan.whitehead@franke.com</t>
  </si>
  <si>
    <t>pankti.mehta@franke.com</t>
  </si>
  <si>
    <t>patrick.stewart@franke.com</t>
  </si>
  <si>
    <t>robert.dugan@franke.com</t>
  </si>
  <si>
    <t>ross.hall@franke.com</t>
  </si>
  <si>
    <t>sabrina.chorpenning@franke.com</t>
  </si>
  <si>
    <t>sataphorn.sayaseng@franke.com</t>
  </si>
  <si>
    <t>scott.smith@franke.com</t>
  </si>
  <si>
    <t>shane.macneall@franke.com</t>
  </si>
  <si>
    <t>stephen.halcomb@franke.com</t>
  </si>
  <si>
    <t>steve.haug@franke.com</t>
  </si>
  <si>
    <t>thomas.schwegler@franke.com</t>
  </si>
  <si>
    <t>tiffany.curry@franke.com</t>
  </si>
  <si>
    <t>troy.field@franke.com</t>
  </si>
  <si>
    <t>welcome.wong@franke.com</t>
  </si>
  <si>
    <t>will.powell@franke.com</t>
  </si>
  <si>
    <t>wyatt.yeater@franke.com</t>
  </si>
  <si>
    <t>barry.personett@greatdane.com</t>
  </si>
  <si>
    <t>blay@greatdanetrailers.com</t>
  </si>
  <si>
    <t>briabbostic@greatdane.com</t>
  </si>
  <si>
    <t>brycefoust@greatdane.com</t>
  </si>
  <si>
    <t>ccoleman@greatdanetrailers.com</t>
  </si>
  <si>
    <t>gailcecil@greatdane.com</t>
  </si>
  <si>
    <t>graysonbuttram@greatdane.com</t>
  </si>
  <si>
    <t>jameswest@greatdane.com</t>
  </si>
  <si>
    <t>jking@greatdanetrailers.com</t>
  </si>
  <si>
    <t>kevans@greatdane.com</t>
  </si>
  <si>
    <t>rjones@greatdane.com</t>
  </si>
  <si>
    <t>sasberry@greatdane.com</t>
  </si>
  <si>
    <t>zjohnson@greatdane.com</t>
  </si>
  <si>
    <t>aruiz-holguin@heiltrailer.com</t>
  </si>
  <si>
    <t>challcox@heiltrailer.com</t>
  </si>
  <si>
    <t>e.veliz@heiltrailer.com</t>
  </si>
  <si>
    <t>ebelziti@heiltrailer.com</t>
  </si>
  <si>
    <t>llemathtutor@heiltrailer.com</t>
  </si>
  <si>
    <t>rgarcia@heiltrailer.com</t>
  </si>
  <si>
    <t>bobby.henley@lasko.com</t>
  </si>
  <si>
    <t>jfarmer@laskoproducts.com</t>
  </si>
  <si>
    <t>jparker@laskoproducts.com</t>
  </si>
  <si>
    <t>bmehta@lear.com</t>
  </si>
  <si>
    <t>cbrooks@lear.com</t>
  </si>
  <si>
    <t>jtrythall@lear.com</t>
  </si>
  <si>
    <t>kauffman@lear.com</t>
  </si>
  <si>
    <t>amarielindsey@muellercompany.com</t>
  </si>
  <si>
    <t>awilliams@muellercompany.com</t>
  </si>
  <si>
    <t>bcrowell@muellercompany.com</t>
  </si>
  <si>
    <t>blong@muellercompany.com</t>
  </si>
  <si>
    <t>bseider@muellercompany.com</t>
  </si>
  <si>
    <t>c_carson@muellerflo.com</t>
  </si>
  <si>
    <t>clively@muellercompany.com</t>
  </si>
  <si>
    <t>dsherman@muellercompany.com</t>
  </si>
  <si>
    <t>fgarcia@muellercompany.com</t>
  </si>
  <si>
    <t>hdai@muellercompany.com</t>
  </si>
  <si>
    <t>hmosley@muellercompany.com</t>
  </si>
  <si>
    <t>icastaneda@muellercompany.com</t>
  </si>
  <si>
    <t>jjohnson@muellercompany.com</t>
  </si>
  <si>
    <t>jmchenry@muellercompany.com</t>
  </si>
  <si>
    <t>jpeer@muellercompany.com</t>
  </si>
  <si>
    <t>jsnell@muellercompany.com</t>
  </si>
  <si>
    <t>jswanson@muellercompany.com</t>
  </si>
  <si>
    <t>jtharp@muellercompany.com</t>
  </si>
  <si>
    <t>lallen@muellercompany.com</t>
  </si>
  <si>
    <t>laulich@muellerflo.com</t>
  </si>
  <si>
    <t>mluke@muellercompany.com</t>
  </si>
  <si>
    <t>msitzberger@muellercompany.com</t>
  </si>
  <si>
    <t>pstrader@muellercompany.com</t>
  </si>
  <si>
    <t>rbonds@muellercompany.com</t>
  </si>
  <si>
    <t>rhernandez@muellercompany.com</t>
  </si>
  <si>
    <t>smarroquin@muellercompany.com</t>
  </si>
  <si>
    <t>tvan-matre@muellercompany.com</t>
  </si>
  <si>
    <t>wmullins@muellercompany.com</t>
  </si>
  <si>
    <t>bfredericks@slworld.com</t>
  </si>
  <si>
    <t>carl.gillham@teledyne.com</t>
  </si>
  <si>
    <t>drew.turner@tbe.com</t>
  </si>
  <si>
    <t>mkashef@teledyne.com</t>
  </si>
  <si>
    <t>cynthia.martin@yrzna.com</t>
  </si>
  <si>
    <t>darrelll.chilton@yrzna.com</t>
  </si>
  <si>
    <t>darryl.cantrell@yrzna.com</t>
  </si>
  <si>
    <t>david.chambers@yrzna.com</t>
  </si>
  <si>
    <t>hiratac@yorozu-corp.co.jp</t>
  </si>
  <si>
    <t>james.ray@yrzna.com</t>
  </si>
  <si>
    <t>jason.andrasko@yrzna.com</t>
  </si>
  <si>
    <t>jason.montandon@yrzna.com</t>
  </si>
  <si>
    <t>jonathan.ramos@yrzna.com</t>
  </si>
  <si>
    <t>kumeh@yorozu-corp.co.jp</t>
  </si>
  <si>
    <t>nakanos@yorozu-corp.co.jp</t>
  </si>
  <si>
    <t>nishiharak@yorozu-corp.co.jp</t>
  </si>
  <si>
    <t>renee.byrom@yrzna.com</t>
  </si>
  <si>
    <t>reynolds.ryan@yrzna.com</t>
  </si>
  <si>
    <t>ryan.jones@yrzna.com</t>
  </si>
  <si>
    <t>scott.lewis@yrzna.com</t>
  </si>
  <si>
    <t>shidok@yorozu-corp.co.jp</t>
  </si>
  <si>
    <t>120191122</t>
  </si>
  <si>
    <t>120191123</t>
  </si>
  <si>
    <t>120191124</t>
  </si>
  <si>
    <t>120191125</t>
  </si>
  <si>
    <t>120191126</t>
  </si>
  <si>
    <t>120191127</t>
  </si>
  <si>
    <t>120191128</t>
  </si>
  <si>
    <t>120191129</t>
  </si>
  <si>
    <t>120191170</t>
  </si>
  <si>
    <t>120191171</t>
  </si>
  <si>
    <t>120191172</t>
  </si>
  <si>
    <t>120191173</t>
  </si>
  <si>
    <t>120191174</t>
  </si>
  <si>
    <t>120191175</t>
  </si>
  <si>
    <t>120191176</t>
  </si>
  <si>
    <t>120191177</t>
  </si>
  <si>
    <t>120191167</t>
  </si>
  <si>
    <t>120191168</t>
  </si>
  <si>
    <t>120191169</t>
  </si>
  <si>
    <t>120191180</t>
  </si>
  <si>
    <t>120191181</t>
  </si>
  <si>
    <t>120191182</t>
  </si>
  <si>
    <t>120191183</t>
  </si>
  <si>
    <t>120191184</t>
  </si>
  <si>
    <t>120191185</t>
  </si>
  <si>
    <t>120191186</t>
  </si>
  <si>
    <t>120191187</t>
  </si>
  <si>
    <t>120191188</t>
  </si>
  <si>
    <t>120191189</t>
  </si>
  <si>
    <t>120191190</t>
  </si>
  <si>
    <t>120191191</t>
  </si>
  <si>
    <t>120191192</t>
  </si>
  <si>
    <t>120191193</t>
  </si>
  <si>
    <t>120191194</t>
  </si>
  <si>
    <t>120191195</t>
  </si>
  <si>
    <t>120191196</t>
  </si>
  <si>
    <t>120191197</t>
  </si>
  <si>
    <t>120191198</t>
  </si>
  <si>
    <t>120191199</t>
  </si>
  <si>
    <t>120191200</t>
  </si>
  <si>
    <t>120191201</t>
  </si>
  <si>
    <t>120191202</t>
  </si>
  <si>
    <t>100746975</t>
  </si>
  <si>
    <t>120190985</t>
  </si>
  <si>
    <t>120190986</t>
  </si>
  <si>
    <t>120190987</t>
  </si>
  <si>
    <t>120190988</t>
  </si>
  <si>
    <t>120190989</t>
  </si>
  <si>
    <t>120191220</t>
  </si>
  <si>
    <t>120191221</t>
  </si>
  <si>
    <t>120191222</t>
  </si>
  <si>
    <t>120191223</t>
  </si>
  <si>
    <t>120191224</t>
  </si>
  <si>
    <t>120191225</t>
  </si>
  <si>
    <t>120191226</t>
  </si>
  <si>
    <t>120191227</t>
  </si>
  <si>
    <t>120191228</t>
  </si>
  <si>
    <t>120191229</t>
  </si>
  <si>
    <t>120191230</t>
  </si>
  <si>
    <t>120191231</t>
  </si>
  <si>
    <t>120191232</t>
  </si>
  <si>
    <t>120191233</t>
  </si>
  <si>
    <t>120191234</t>
  </si>
  <si>
    <t>120191235</t>
  </si>
  <si>
    <t>120191236</t>
  </si>
  <si>
    <t>120191237</t>
  </si>
  <si>
    <t>120191238</t>
  </si>
  <si>
    <t>120191239</t>
  </si>
  <si>
    <t>120191240</t>
  </si>
  <si>
    <t>120191241</t>
  </si>
  <si>
    <t>120191242</t>
  </si>
  <si>
    <t>120191243</t>
  </si>
  <si>
    <t>120191244</t>
  </si>
  <si>
    <t>120191245</t>
  </si>
  <si>
    <t>120191246</t>
  </si>
  <si>
    <t>120191247</t>
  </si>
  <si>
    <t>120191248</t>
  </si>
  <si>
    <t>120191249</t>
  </si>
  <si>
    <t>120191250</t>
  </si>
  <si>
    <t>120191251</t>
  </si>
  <si>
    <t>120191252</t>
  </si>
  <si>
    <t>120191253</t>
  </si>
  <si>
    <t>120191254</t>
  </si>
  <si>
    <t>120191255</t>
  </si>
  <si>
    <t>120191256</t>
  </si>
  <si>
    <t>120191257</t>
  </si>
  <si>
    <t>120191258</t>
  </si>
  <si>
    <t>120191259</t>
  </si>
  <si>
    <t>120191260</t>
  </si>
  <si>
    <t>120191261</t>
  </si>
  <si>
    <t>120191262</t>
  </si>
  <si>
    <t>120191263</t>
  </si>
  <si>
    <t>120191264</t>
  </si>
  <si>
    <t>120191265</t>
  </si>
  <si>
    <t>120191266</t>
  </si>
  <si>
    <t>120191267</t>
  </si>
  <si>
    <t>120191268</t>
  </si>
  <si>
    <t>120191269</t>
  </si>
  <si>
    <t>120191270</t>
  </si>
  <si>
    <t>120191271</t>
  </si>
  <si>
    <t>120191272</t>
  </si>
  <si>
    <t>120191273</t>
  </si>
  <si>
    <t>120191274</t>
  </si>
  <si>
    <t>120191275</t>
  </si>
  <si>
    <t>120191276</t>
  </si>
  <si>
    <t>120191277</t>
  </si>
  <si>
    <t>120191278</t>
  </si>
  <si>
    <t>120191279</t>
  </si>
  <si>
    <t>120191142</t>
  </si>
  <si>
    <t>120191143</t>
  </si>
  <si>
    <t>120191144</t>
  </si>
  <si>
    <t>120191145</t>
  </si>
  <si>
    <t>120191146</t>
  </si>
  <si>
    <t>120191147</t>
  </si>
  <si>
    <t>120191148</t>
  </si>
  <si>
    <t>120191149</t>
  </si>
  <si>
    <t>120191300</t>
  </si>
  <si>
    <t>120191301</t>
  </si>
  <si>
    <t>120191302</t>
  </si>
  <si>
    <t>120191303</t>
  </si>
  <si>
    <t>120191304</t>
  </si>
  <si>
    <t>120191305</t>
  </si>
  <si>
    <t>120191306</t>
  </si>
  <si>
    <t>120191307</t>
  </si>
  <si>
    <t>120191308</t>
  </si>
  <si>
    <t>120191309</t>
  </si>
  <si>
    <t>120191330</t>
  </si>
  <si>
    <t>120191331</t>
  </si>
  <si>
    <t>120191332</t>
  </si>
  <si>
    <t>120191333</t>
  </si>
  <si>
    <t>120191334</t>
  </si>
  <si>
    <t>120191335</t>
  </si>
  <si>
    <t>120191336</t>
  </si>
  <si>
    <t>120191337</t>
  </si>
  <si>
    <t>120191338</t>
  </si>
  <si>
    <t>120191339</t>
  </si>
  <si>
    <t>120191340</t>
  </si>
  <si>
    <t>120191341</t>
  </si>
  <si>
    <t>120191342</t>
  </si>
  <si>
    <t>120191343</t>
  </si>
  <si>
    <t>120191344</t>
  </si>
  <si>
    <t>120191345</t>
  </si>
  <si>
    <t>120191346</t>
  </si>
  <si>
    <t>120191347</t>
  </si>
  <si>
    <t>120191348</t>
  </si>
  <si>
    <t>120191349</t>
  </si>
  <si>
    <t>120191350</t>
  </si>
  <si>
    <t>120191351</t>
  </si>
  <si>
    <t>120191352</t>
  </si>
  <si>
    <t>120191353</t>
  </si>
  <si>
    <t>120191354</t>
  </si>
  <si>
    <t>120191355</t>
  </si>
  <si>
    <t>120191356</t>
  </si>
  <si>
    <t>120191357</t>
  </si>
  <si>
    <t>120191358</t>
  </si>
  <si>
    <t>120191359</t>
  </si>
  <si>
    <t>120191360</t>
  </si>
  <si>
    <t>120191361</t>
  </si>
  <si>
    <t>120191362</t>
  </si>
  <si>
    <t>120191363</t>
  </si>
  <si>
    <t>120191364</t>
  </si>
  <si>
    <t>120191365</t>
  </si>
  <si>
    <t>120191366</t>
  </si>
  <si>
    <t>120191367</t>
  </si>
  <si>
    <t>120191368</t>
  </si>
  <si>
    <t>120191369</t>
  </si>
  <si>
    <t>120191370</t>
  </si>
  <si>
    <t>120191371</t>
  </si>
  <si>
    <t>120191372</t>
  </si>
  <si>
    <t>120191373</t>
  </si>
  <si>
    <t>120191374</t>
  </si>
  <si>
    <t>120191375</t>
  </si>
  <si>
    <t>120191376</t>
  </si>
  <si>
    <t>120191377</t>
  </si>
  <si>
    <t>120191378</t>
  </si>
  <si>
    <t>120191379</t>
  </si>
  <si>
    <t>120191380</t>
  </si>
  <si>
    <t>120191381</t>
  </si>
  <si>
    <t>120191382</t>
  </si>
  <si>
    <t>120191383</t>
  </si>
  <si>
    <t>120191384</t>
  </si>
  <si>
    <t>120191385</t>
  </si>
  <si>
    <t>120191386</t>
  </si>
  <si>
    <t>120191387</t>
  </si>
  <si>
    <t>120191388</t>
  </si>
  <si>
    <t>120191389</t>
  </si>
  <si>
    <t>120191390</t>
  </si>
  <si>
    <t>120191391</t>
  </si>
  <si>
    <t>120191392</t>
  </si>
  <si>
    <t>120191393</t>
  </si>
  <si>
    <t>120191394</t>
  </si>
  <si>
    <t>120191395</t>
  </si>
  <si>
    <t>120191396</t>
  </si>
  <si>
    <t>120191397</t>
  </si>
  <si>
    <t>120191398</t>
  </si>
  <si>
    <t>120191399</t>
  </si>
  <si>
    <t>120191400</t>
  </si>
  <si>
    <t>120191401</t>
  </si>
  <si>
    <t>120191402</t>
  </si>
  <si>
    <t>120191403</t>
  </si>
  <si>
    <t>120191404</t>
  </si>
  <si>
    <t>120191405</t>
  </si>
  <si>
    <t>120191406</t>
  </si>
  <si>
    <t>120191407</t>
  </si>
  <si>
    <t>120191408</t>
  </si>
  <si>
    <t>120191409</t>
  </si>
  <si>
    <t>120191410</t>
  </si>
  <si>
    <t>120191411</t>
  </si>
  <si>
    <t>120191412</t>
  </si>
  <si>
    <t>120191413</t>
  </si>
  <si>
    <t>120191414</t>
  </si>
  <si>
    <t>120191415</t>
  </si>
  <si>
    <t>120191416</t>
  </si>
  <si>
    <t>Alex Sanders</t>
  </si>
  <si>
    <t>Ada Waldorf</t>
  </si>
  <si>
    <t>Art Walker</t>
  </si>
  <si>
    <t>Brenda Keitzer</t>
  </si>
  <si>
    <t>Bhardwaj Parvatam</t>
  </si>
  <si>
    <t>Brian Weidner</t>
  </si>
  <si>
    <t>Bill Taylor</t>
  </si>
  <si>
    <t>Cochran Chris</t>
  </si>
  <si>
    <t>Chip Keeler</t>
  </si>
  <si>
    <t>Court Rush</t>
  </si>
  <si>
    <t>Cal Carr</t>
  </si>
  <si>
    <t>Daphne Berg</t>
  </si>
  <si>
    <t>Don Blackwell</t>
  </si>
  <si>
    <t>David Cacibauda</t>
  </si>
  <si>
    <t>David Earle</t>
  </si>
  <si>
    <t>Davin Gonzales</t>
  </si>
  <si>
    <t>Dawn Havenslutz</t>
  </si>
  <si>
    <t>Don Ketron</t>
  </si>
  <si>
    <t>Reynolds Debbie</t>
  </si>
  <si>
    <t>Dennis Rivard</t>
  </si>
  <si>
    <t>Darryl Ruark</t>
  </si>
  <si>
    <t>Darrell Junge</t>
  </si>
  <si>
    <t>Elva Oaxaca</t>
  </si>
  <si>
    <t>Eric Rtrott</t>
  </si>
  <si>
    <t>Eloy Saenz</t>
  </si>
  <si>
    <t>Florin Gavrilut</t>
  </si>
  <si>
    <t>Gilberto Chavez</t>
  </si>
  <si>
    <t>Gail Doss</t>
  </si>
  <si>
    <t>Giovanna Pinson</t>
  </si>
  <si>
    <t>Glenda Smith</t>
  </si>
  <si>
    <t>Henry Koszarsky</t>
  </si>
  <si>
    <t>Harry Guio</t>
  </si>
  <si>
    <t>George Hodson</t>
  </si>
  <si>
    <t>Adam Huffines</t>
  </si>
  <si>
    <t>Joe Caudill</t>
  </si>
  <si>
    <t>Jason Barring</t>
  </si>
  <si>
    <t>Jody Blaylock</t>
  </si>
  <si>
    <t>Jackson Bogart</t>
  </si>
  <si>
    <t>David Josey</t>
  </si>
  <si>
    <t>Jennifer Carter</t>
  </si>
  <si>
    <t>Jeff Guisinger</t>
  </si>
  <si>
    <t>Joe Ligon</t>
  </si>
  <si>
    <t>Justin Breeland</t>
  </si>
  <si>
    <t>Jason Quinlan</t>
  </si>
  <si>
    <t>Jason Riopelle</t>
  </si>
  <si>
    <t>Jorge Tarango</t>
  </si>
  <si>
    <t>Jeff Ralph</t>
  </si>
  <si>
    <t>Lisa Darnall</t>
  </si>
  <si>
    <t>Hammonds Lisa</t>
  </si>
  <si>
    <t>Logan Hunt</t>
  </si>
  <si>
    <t>Larry Lysinger</t>
  </si>
  <si>
    <t>Manny Arellano</t>
  </si>
  <si>
    <t>Michael Copeland</t>
  </si>
  <si>
    <t>Mike Head</t>
  </si>
  <si>
    <t>Marvin Perhne</t>
  </si>
  <si>
    <t>Michael Sager</t>
  </si>
  <si>
    <t>Mike Wilczynski</t>
  </si>
  <si>
    <t>Noelle Brigham</t>
  </si>
  <si>
    <t>Nicole Rodriguez</t>
  </si>
  <si>
    <t>Paul Dana</t>
  </si>
  <si>
    <t>Patrick Gill</t>
  </si>
  <si>
    <t>Pravin Mallavarpu</t>
  </si>
  <si>
    <t>Pablo Sanmiguel</t>
  </si>
  <si>
    <t>Patrick Songer</t>
  </si>
  <si>
    <t>Robert Aldrich</t>
  </si>
  <si>
    <t>Rondal Wling</t>
  </si>
  <si>
    <t>Rebecca Grizzle</t>
  </si>
  <si>
    <t>Richard Joynor</t>
  </si>
  <si>
    <t>Richard Messina</t>
  </si>
  <si>
    <t>Rhett Ridings</t>
  </si>
  <si>
    <t>Rodney Syler</t>
  </si>
  <si>
    <t>Ryan Guffy</t>
  </si>
  <si>
    <t>Sheila Burnette</t>
  </si>
  <si>
    <t>Sheila Rnette</t>
  </si>
  <si>
    <t>Susan Durham</t>
  </si>
  <si>
    <t>Sara Harricharan</t>
  </si>
  <si>
    <t>Schuckman Kory</t>
  </si>
  <si>
    <t>Shannon Walker</t>
  </si>
  <si>
    <t>Vince Stockdell</t>
  </si>
  <si>
    <t>Jim Weller</t>
  </si>
  <si>
    <t>Walter Silvey</t>
  </si>
  <si>
    <t>Yeriel Gonzalez</t>
  </si>
  <si>
    <t>Barry Massey</t>
  </si>
  <si>
    <t>Brian Hines</t>
  </si>
  <si>
    <t>Chioma Aladi</t>
  </si>
  <si>
    <t>Grant Luna</t>
  </si>
  <si>
    <t>Nic Pederson</t>
  </si>
  <si>
    <t>Beatrice Clifton</t>
  </si>
  <si>
    <t>Brent Wilder</t>
  </si>
  <si>
    <t>Sean Key</t>
  </si>
  <si>
    <t>Terry Carpenter</t>
  </si>
  <si>
    <t>Tracy Givens</t>
  </si>
  <si>
    <t>Trevor Honeywill</t>
  </si>
  <si>
    <t>Alan Seagroatt</t>
  </si>
  <si>
    <t>Andreas Hauswirth</t>
  </si>
  <si>
    <t>Angelica Mendoza</t>
  </si>
  <si>
    <t>Ashish Kamath</t>
  </si>
  <si>
    <t>Bill Wilson</t>
  </si>
  <si>
    <t>Candice Monhollon</t>
  </si>
  <si>
    <t>Caroline Cormier</t>
  </si>
  <si>
    <t>Clif Casipit</t>
  </si>
  <si>
    <t>Courtney Williams</t>
  </si>
  <si>
    <t>Damian Orleanski</t>
  </si>
  <si>
    <t>Dayanna Ferrer</t>
  </si>
  <si>
    <t>Doug Smith</t>
  </si>
  <si>
    <t>Erin Harrell</t>
  </si>
  <si>
    <t>Gerardo Camacho</t>
  </si>
  <si>
    <t>Jaime Deguzman</t>
  </si>
  <si>
    <t>Joe Zeltner</t>
  </si>
  <si>
    <t>Jose Thomas</t>
  </si>
  <si>
    <t>Julian Gomez</t>
  </si>
  <si>
    <t>Kacper Maleta</t>
  </si>
  <si>
    <t>Kevin Strickland</t>
  </si>
  <si>
    <t>Leslie Sunthonthip</t>
  </si>
  <si>
    <t>Levi Carter</t>
  </si>
  <si>
    <t>Lindsey Jackson</t>
  </si>
  <si>
    <t>Luz Zapata</t>
  </si>
  <si>
    <t>Markus Hodel</t>
  </si>
  <si>
    <t>Mateusz Braminski</t>
  </si>
  <si>
    <t>Megan Sargent</t>
  </si>
  <si>
    <t>Michael Starr</t>
  </si>
  <si>
    <t>Nathan Whitehead</t>
  </si>
  <si>
    <t>Pankti Mehta</t>
  </si>
  <si>
    <t>Patrick Stewart</t>
  </si>
  <si>
    <t>Robert Dugan</t>
  </si>
  <si>
    <t>Ross Hall</t>
  </si>
  <si>
    <t>Sabrina Chorpenning</t>
  </si>
  <si>
    <t>Sataphorn Sayaseng</t>
  </si>
  <si>
    <t>Scott Smith</t>
  </si>
  <si>
    <t>Shane Macneall</t>
  </si>
  <si>
    <t>Stephen Halcomb</t>
  </si>
  <si>
    <t>Steve Haug</t>
  </si>
  <si>
    <t>Thomas Schwegler</t>
  </si>
  <si>
    <t>Tiffany Curry</t>
  </si>
  <si>
    <t>Troy Field</t>
  </si>
  <si>
    <t>Welcome Wong</t>
  </si>
  <si>
    <t>Will Powell</t>
  </si>
  <si>
    <t>Wyatt Yeater</t>
  </si>
  <si>
    <t>Barry Personett</t>
  </si>
  <si>
    <t>Barbara Lay</t>
  </si>
  <si>
    <t>Briab Bostic</t>
  </si>
  <si>
    <t>Bryce Foust</t>
  </si>
  <si>
    <t>Charles Coleman</t>
  </si>
  <si>
    <t>Gail Cecil</t>
  </si>
  <si>
    <t>Grayson Buttram</t>
  </si>
  <si>
    <t>James West</t>
  </si>
  <si>
    <t>Joe King</t>
  </si>
  <si>
    <t>Kevin Evans</t>
  </si>
  <si>
    <t>Ron Jones</t>
  </si>
  <si>
    <t>Steven Asberry</t>
  </si>
  <si>
    <t>Zack Johnson</t>
  </si>
  <si>
    <t>Ana Luisa Ruiz Holguin</t>
  </si>
  <si>
    <t>Clint Hallcox</t>
  </si>
  <si>
    <t>Ernesto Veliz</t>
  </si>
  <si>
    <t>Enzo Belziti</t>
  </si>
  <si>
    <t>Luis Lemathtutor</t>
  </si>
  <si>
    <t>Ruben Garcia</t>
  </si>
  <si>
    <t>Bobby Henley</t>
  </si>
  <si>
    <t>Jay Farmer</t>
  </si>
  <si>
    <t>Jeremy Parker</t>
  </si>
  <si>
    <t>Melcher Nugent</t>
  </si>
  <si>
    <t>Carl Brooks</t>
  </si>
  <si>
    <t>John Trythall</t>
  </si>
  <si>
    <t>Jeff Kauffman</t>
  </si>
  <si>
    <t>Anastasia Marie Lindsey</t>
  </si>
  <si>
    <t>Aaron Williams</t>
  </si>
  <si>
    <t>Barry Crowell</t>
  </si>
  <si>
    <t>Brian Long</t>
  </si>
  <si>
    <t>Bob Seider</t>
  </si>
  <si>
    <t>Chris Carson</t>
  </si>
  <si>
    <t>Christopher Lively</t>
  </si>
  <si>
    <t>Daniel Sherman</t>
  </si>
  <si>
    <t>Felipe Garcia</t>
  </si>
  <si>
    <t>Heming Dai</t>
  </si>
  <si>
    <t>Harold Mosley</t>
  </si>
  <si>
    <t>Issac Castaneda</t>
  </si>
  <si>
    <t>Johnny Johnson</t>
  </si>
  <si>
    <t>Johnnie Mchenry</t>
  </si>
  <si>
    <t>Jodi Peer</t>
  </si>
  <si>
    <t>Jason Snell</t>
  </si>
  <si>
    <t>Josh Swanson</t>
  </si>
  <si>
    <t>John Tharp</t>
  </si>
  <si>
    <t>Leonard Allen</t>
  </si>
  <si>
    <t>Larry Aulich</t>
  </si>
  <si>
    <t>Michael Luke</t>
  </si>
  <si>
    <t>Michele Sitzberger</t>
  </si>
  <si>
    <t>Paul Strader</t>
  </si>
  <si>
    <t>Rob Bonds</t>
  </si>
  <si>
    <t>Roxana Hernandez</t>
  </si>
  <si>
    <t>Sergio Marroquin</t>
  </si>
  <si>
    <t>Thomas Matre</t>
  </si>
  <si>
    <t>William Mullins</t>
  </si>
  <si>
    <t>Benjamin Fredericks</t>
  </si>
  <si>
    <t>Carl Gillham</t>
  </si>
  <si>
    <t>Drew Turner</t>
  </si>
  <si>
    <t>Mark Kashef</t>
  </si>
  <si>
    <t>Leslie Martin</t>
  </si>
  <si>
    <t>Darrell Chilton</t>
  </si>
  <si>
    <t>Darryl Cantrell</t>
  </si>
  <si>
    <t>David Chambers</t>
  </si>
  <si>
    <t>Chikao Hirata</t>
  </si>
  <si>
    <t>James Ray</t>
  </si>
  <si>
    <t>Jason Andrasko</t>
  </si>
  <si>
    <t>Jason Montandon</t>
  </si>
  <si>
    <t>Jonathan Ramos</t>
  </si>
  <si>
    <t>Hiroshi Kume</t>
  </si>
  <si>
    <t>Shojiro Nakano</t>
  </si>
  <si>
    <t>Kunihiro Nishihara</t>
  </si>
  <si>
    <t>Renee Byrom</t>
  </si>
  <si>
    <t>Reynolds Ryan</t>
  </si>
  <si>
    <t>Bryan Jones</t>
  </si>
  <si>
    <t>Scott Lewis</t>
  </si>
  <si>
    <t>Ken Shido</t>
  </si>
  <si>
    <t>Facilities</t>
  </si>
  <si>
    <t>Service Agent</t>
  </si>
  <si>
    <t>Project Manager</t>
  </si>
  <si>
    <t>Production Planner</t>
  </si>
  <si>
    <t>Solutions Delivery Lead</t>
  </si>
  <si>
    <t>Sr. Director Global Information Security</t>
  </si>
  <si>
    <t>Director Advanced Manufacturing Engineering</t>
  </si>
  <si>
    <t>Controller</t>
  </si>
  <si>
    <t>Engineering Laboratory Technician</t>
  </si>
  <si>
    <t>Applications Engineer</t>
  </si>
  <si>
    <t>Transportation Analyst</t>
  </si>
  <si>
    <t>Coordinator-Order Management</t>
  </si>
  <si>
    <t>Quality Assurance Manager</t>
  </si>
  <si>
    <t>Warehouse Manager</t>
  </si>
  <si>
    <t>Welding Engineer</t>
  </si>
  <si>
    <t>Production Operator</t>
  </si>
  <si>
    <t>Senior Cost Accounting Analyst</t>
  </si>
  <si>
    <t>Quality Engineer</t>
  </si>
  <si>
    <t>Demand Planning</t>
  </si>
  <si>
    <t>Industrial Engineer</t>
  </si>
  <si>
    <t>Senior Project Engineer</t>
  </si>
  <si>
    <t>Senior Manufacturing Engineer Ao Smith</t>
  </si>
  <si>
    <t>Manager</t>
  </si>
  <si>
    <t>Commodity Manager</t>
  </si>
  <si>
    <t>Production And Process Manager</t>
  </si>
  <si>
    <t>engineer staff</t>
  </si>
  <si>
    <t>Process Engineer</t>
  </si>
  <si>
    <t>Senior Project Manager</t>
  </si>
  <si>
    <t>Application Engineer</t>
  </si>
  <si>
    <t>Manager, Technical Support</t>
  </si>
  <si>
    <t>Senior Elec Engineering</t>
  </si>
  <si>
    <t>Mechanical Engineer</t>
  </si>
  <si>
    <t>Manufacturing Engineering Manager</t>
  </si>
  <si>
    <t>Production Supervisor</t>
  </si>
  <si>
    <t>Engineer</t>
  </si>
  <si>
    <t>Business Development Manager</t>
  </si>
  <si>
    <t>Supervisor Production</t>
  </si>
  <si>
    <t>Import Export Manager</t>
  </si>
  <si>
    <t>Parts Department</t>
  </si>
  <si>
    <t>Tooling Specialist</t>
  </si>
  <si>
    <t>Senior Manager, Strategy And Operations</t>
  </si>
  <si>
    <t>Plant Engineer</t>
  </si>
  <si>
    <t>DIRECTOR OF PRICING WATER PRODUCTS</t>
  </si>
  <si>
    <t>Director, Global Process Engineering</t>
  </si>
  <si>
    <t>Boiler Specialist</t>
  </si>
  <si>
    <t>information technology operations manager</t>
  </si>
  <si>
    <t>Spray Operator</t>
  </si>
  <si>
    <t>Project Engineer</t>
  </si>
  <si>
    <t>Facilities Engineer</t>
  </si>
  <si>
    <t>Product Manager</t>
  </si>
  <si>
    <t>Esg Director</t>
  </si>
  <si>
    <t>Qa/Qc Manager</t>
  </si>
  <si>
    <t>Operations Manager</t>
  </si>
  <si>
    <t>Information Technology Testing Lead</t>
  </si>
  <si>
    <t>Senior Materials Planner</t>
  </si>
  <si>
    <t>Continuous Improvement Coordinator</t>
  </si>
  <si>
    <t>Quality Manager</t>
  </si>
  <si>
    <t>Assembly Superintendent</t>
  </si>
  <si>
    <t>Senior Manufacturing Engineer</t>
  </si>
  <si>
    <t>Software Applications Engineer</t>
  </si>
  <si>
    <t>Tech 2 Industrial Maintenance Technician</t>
  </si>
  <si>
    <t>Principal</t>
  </si>
  <si>
    <t>Production Scheduler</t>
  </si>
  <si>
    <t>Production Control</t>
  </si>
  <si>
    <t>Director</t>
  </si>
  <si>
    <t>Special Project Coordinator</t>
  </si>
  <si>
    <t>Mro Buyer</t>
  </si>
  <si>
    <t>Manager, Field Service Engineering</t>
  </si>
  <si>
    <t>Brunswick Boat Group</t>
  </si>
  <si>
    <t>Vice President Of Operations</t>
  </si>
  <si>
    <t>Program Director, Business Acceleration</t>
  </si>
  <si>
    <t>Manager, It Emerging Technologies</t>
  </si>
  <si>
    <t>Manager, Facilities</t>
  </si>
  <si>
    <t>Administrator</t>
  </si>
  <si>
    <t>Order Fulfillment Specialist</t>
  </si>
  <si>
    <t>Product Manager, Software</t>
  </si>
  <si>
    <t>Technical/Software Project Manager</t>
  </si>
  <si>
    <t>Product Data Manager</t>
  </si>
  <si>
    <t>Software Engineer</t>
  </si>
  <si>
    <t>Vice President - Finance &amp; Controlling</t>
  </si>
  <si>
    <t>Vice President Information Technology</t>
  </si>
  <si>
    <t>Data Processing Manager</t>
  </si>
  <si>
    <t>Project Manager II</t>
  </si>
  <si>
    <t>Design Engineer III</t>
  </si>
  <si>
    <t>Product And Training Specialist</t>
  </si>
  <si>
    <t>Proyect Coordinator</t>
  </si>
  <si>
    <t>Vice President Sales</t>
  </si>
  <si>
    <t>Vice President Supply Chain Americas</t>
  </si>
  <si>
    <t>Supply Chain Manager</t>
  </si>
  <si>
    <t>Reliability And Regulatory Manager</t>
  </si>
  <si>
    <t>Design Engineer</t>
  </si>
  <si>
    <t>Demand Planner</t>
  </si>
  <si>
    <t>Project Coordinator</t>
  </si>
  <si>
    <t>Managing Director</t>
  </si>
  <si>
    <t>Senior Product Manager</t>
  </si>
  <si>
    <t>Account Engineer</t>
  </si>
  <si>
    <t>Maintenance Technician</t>
  </si>
  <si>
    <t>Business Analyst And Project Manager</t>
  </si>
  <si>
    <t>Reliability Engineer</t>
  </si>
  <si>
    <t>Maintenance Engineer</t>
  </si>
  <si>
    <t>Production Team Lead</t>
  </si>
  <si>
    <t>Production Planning Lead</t>
  </si>
  <si>
    <t>Service Specialist</t>
  </si>
  <si>
    <t>Technical Product Support Director North America</t>
  </si>
  <si>
    <t>Ehs And Iso Manager</t>
  </si>
  <si>
    <t>Telecommunication Engineer For Franke Food Service And Franke Coffee Us</t>
  </si>
  <si>
    <t>Buyer</t>
  </si>
  <si>
    <t>Luxury Product Engineer</t>
  </si>
  <si>
    <t>Strategic Account Director</t>
  </si>
  <si>
    <t>Vp Product And Sales Engineering</t>
  </si>
  <si>
    <t>Maintenance Mechanic</t>
  </si>
  <si>
    <t>Plant Manager</t>
  </si>
  <si>
    <t>Production Engineer</t>
  </si>
  <si>
    <t>Maintenance/Facility Manager</t>
  </si>
  <si>
    <t>Production Manager</t>
  </si>
  <si>
    <t>Maintenance Tech</t>
  </si>
  <si>
    <t>Product &amp; Design Engineer</t>
  </si>
  <si>
    <t>Product Design Engineer</t>
  </si>
  <si>
    <t>Product Engineer</t>
  </si>
  <si>
    <t>Press Manager</t>
  </si>
  <si>
    <t>Senior Buyer</t>
  </si>
  <si>
    <t>Management</t>
  </si>
  <si>
    <t>Systems Manager</t>
  </si>
  <si>
    <t>Vice President - Finance, Business Planning And Analysis</t>
  </si>
  <si>
    <t>Manufacturing Director</t>
  </si>
  <si>
    <t>Buyer II</t>
  </si>
  <si>
    <t>Supervisor</t>
  </si>
  <si>
    <t>Senior Tooling Engineer</t>
  </si>
  <si>
    <t>Environmental Engineer</t>
  </si>
  <si>
    <t>Programmer/Analyst</t>
  </si>
  <si>
    <t>Systems Qa Manager</t>
  </si>
  <si>
    <t>Maint Superintendent</t>
  </si>
  <si>
    <t>Production Control Manager</t>
  </si>
  <si>
    <t>Representative</t>
  </si>
  <si>
    <t>Sales</t>
  </si>
  <si>
    <t>Infrastructure Territory Manager</t>
  </si>
  <si>
    <t>Maintenance Supervisor</t>
  </si>
  <si>
    <t>Engineering Technician</t>
  </si>
  <si>
    <t>international inside sales manager</t>
  </si>
  <si>
    <t>Engineering Manager, II Engineering</t>
  </si>
  <si>
    <t>Engineering Supervisor, Drafting</t>
  </si>
  <si>
    <t>Manufacturing Engineer</t>
  </si>
  <si>
    <t>Safety Tech</t>
  </si>
  <si>
    <t>Launch Manager</t>
  </si>
  <si>
    <t>Information Systems Specialist</t>
  </si>
  <si>
    <t>Laboratory Technitian 2</t>
  </si>
  <si>
    <t>Qa Technician</t>
  </si>
  <si>
    <t>Supervisor, Production Control</t>
  </si>
  <si>
    <t>ASSEMBLY TECHNICIAN</t>
  </si>
  <si>
    <t>Quality Assurance Inspector</t>
  </si>
  <si>
    <t>Executive Vice President</t>
  </si>
  <si>
    <t>Facility Maintenance</t>
  </si>
  <si>
    <t>Staff Engineer</t>
  </si>
  <si>
    <t>Assembly Technician</t>
  </si>
  <si>
    <t>Senior Vice President</t>
  </si>
  <si>
    <t>Senior Manager</t>
  </si>
  <si>
    <t>Stamping Engineer</t>
  </si>
  <si>
    <t>Owner</t>
  </si>
  <si>
    <t>Wago Power Supply Release Notice</t>
  </si>
  <si>
    <t>02282025</t>
  </si>
  <si>
    <t>found account &amp; contact on hoovers, added to CRM, and sent the contact an email with information about latest wago power supplies in an attempt to generate interest.</t>
  </si>
  <si>
    <t>20250304</t>
  </si>
  <si>
    <t>garett ward</t>
  </si>
  <si>
    <t>Will Epperson</t>
  </si>
  <si>
    <t>Air Hydro Power - Tuscaloosa</t>
  </si>
  <si>
    <t>wepperson1@airhydropower.com</t>
  </si>
  <si>
    <t>Epperson</t>
  </si>
  <si>
    <t>Sales/Marketing</t>
  </si>
  <si>
    <t>Inside Sales</t>
  </si>
  <si>
    <t>+1 205-759-1991</t>
  </si>
  <si>
    <t>Leatherman</t>
  </si>
  <si>
    <t>Motor Driven Roller - Product Manager</t>
  </si>
  <si>
    <t>Mechanical Engineering</t>
  </si>
  <si>
    <t>McEntire</t>
  </si>
  <si>
    <t>Jared</t>
  </si>
  <si>
    <t>Stacey</t>
  </si>
  <si>
    <t>Controls Engineer II, New Product Dev</t>
  </si>
  <si>
    <t>+1 615-796-8517</t>
  </si>
  <si>
    <t>Chris Clark</t>
  </si>
  <si>
    <t>cclark@astecindustries.com</t>
  </si>
  <si>
    <t>Clark</t>
  </si>
  <si>
    <t>SR Engineer</t>
  </si>
  <si>
    <t>+1 423-825-3460</t>
  </si>
  <si>
    <t>+1 423-821-5200</t>
  </si>
  <si>
    <t>+1 423-825-3431</t>
  </si>
  <si>
    <t>Katilynn Byrne</t>
  </si>
  <si>
    <t>ILLUMADYNE (IES FLORIDA</t>
  </si>
  <si>
    <t>kbyrne@illumadyne.com</t>
  </si>
  <si>
    <t>Katilynn</t>
  </si>
  <si>
    <t>Byrne</t>
  </si>
  <si>
    <t>+1 850-941-7616</t>
  </si>
  <si>
    <t>David Fetter</t>
  </si>
  <si>
    <t>dfetter@illumadyne.com</t>
  </si>
  <si>
    <t>Fetter</t>
  </si>
  <si>
    <t>Procurement Supervisor</t>
  </si>
  <si>
    <t>+1 609-339-5317</t>
  </si>
  <si>
    <t>Davide Keaton</t>
  </si>
  <si>
    <t>dkeaton@illumadyne.com</t>
  </si>
  <si>
    <t>+1 850-598-7552</t>
  </si>
  <si>
    <t>Davide</t>
  </si>
  <si>
    <t>Keaton</t>
  </si>
  <si>
    <t>David Natarelli</t>
  </si>
  <si>
    <t>dnatarelli@illumadyne.com</t>
  </si>
  <si>
    <t>Natarelli</t>
  </si>
  <si>
    <t>+1 585-315-9140</t>
  </si>
  <si>
    <t>ESQUIRE WIRE, INC</t>
  </si>
  <si>
    <t>samgarrison@esquirewire.net</t>
  </si>
  <si>
    <t>Garrison</t>
  </si>
  <si>
    <t>Owner Purchasing Manager</t>
  </si>
  <si>
    <t>+1 931-820-1100</t>
  </si>
  <si>
    <t>Lisa Mofitt</t>
  </si>
  <si>
    <t>lisamofitt@esquirewire.com</t>
  </si>
  <si>
    <t>Mofitt</t>
  </si>
  <si>
    <t>Accounts Payable</t>
  </si>
  <si>
    <t>+1 615-746-0159</t>
  </si>
  <si>
    <t>Mike Robison</t>
  </si>
  <si>
    <t>mikerobison@esquirewire.net</t>
  </si>
  <si>
    <t>Robison</t>
  </si>
  <si>
    <t>Test Engineer</t>
  </si>
  <si>
    <t>Breaker</t>
  </si>
  <si>
    <t>+1 931-455-6458</t>
  </si>
  <si>
    <t>Busch-Sorensen</t>
  </si>
  <si>
    <t>Sr Principal Hardware Engr</t>
  </si>
  <si>
    <t>+1 858-268-3100</t>
  </si>
  <si>
    <t>Wilma</t>
  </si>
  <si>
    <t>Cable dept</t>
  </si>
  <si>
    <t>+1 931-455-8524</t>
  </si>
  <si>
    <t>Jamie</t>
  </si>
  <si>
    <t>Croft</t>
  </si>
  <si>
    <t>Frazier</t>
  </si>
  <si>
    <t>Greer</t>
  </si>
  <si>
    <t>Quality</t>
  </si>
  <si>
    <t>CMI</t>
  </si>
  <si>
    <t>Lore</t>
  </si>
  <si>
    <t>Loso</t>
  </si>
  <si>
    <t>Martinez</t>
  </si>
  <si>
    <t>Hardware Engineer</t>
  </si>
  <si>
    <t>Director of Hardware Design and Engineer</t>
  </si>
  <si>
    <t>Sullivan</t>
  </si>
  <si>
    <t>Tourville</t>
  </si>
  <si>
    <t>Ulmer</t>
  </si>
  <si>
    <t>+1 931-273-0156</t>
  </si>
  <si>
    <t>VanHowe</t>
  </si>
  <si>
    <t>Mechanical Engineering Manager</t>
  </si>
  <si>
    <t>Skip</t>
  </si>
  <si>
    <t>Willmore</t>
  </si>
  <si>
    <t>+1 931-454-1540</t>
  </si>
  <si>
    <t>Mike Broadhead</t>
  </si>
  <si>
    <t>DESHAZO CRANE COMPANY ATTN: RECEIVING</t>
  </si>
  <si>
    <t>mbroadhead@deshazo.com</t>
  </si>
  <si>
    <t>Broadhead</t>
  </si>
  <si>
    <t>+1 423-827-1527</t>
  </si>
  <si>
    <t>Electrical Designer - Replacing Jeff</t>
  </si>
  <si>
    <t>Buck Arthur</t>
  </si>
  <si>
    <t>EPRI</t>
  </si>
  <si>
    <t>barthur@epri.com</t>
  </si>
  <si>
    <t>Buck</t>
  </si>
  <si>
    <t>Arthur</t>
  </si>
  <si>
    <t>Student Employee, Electrification &amp; Cust</t>
  </si>
  <si>
    <t>+1 865-218-8026</t>
  </si>
  <si>
    <t>Nancy LaFlair</t>
  </si>
  <si>
    <t>NLAFLAIR@EPRI.COM</t>
  </si>
  <si>
    <t>LaFlair</t>
  </si>
  <si>
    <t>Engineer IV</t>
  </si>
  <si>
    <t>+1 704-488-6693</t>
  </si>
  <si>
    <t>Michael Aughtman</t>
  </si>
  <si>
    <t>Deshazo AUtomation</t>
  </si>
  <si>
    <t>maughtman@deshazo.com</t>
  </si>
  <si>
    <t>Aughtman</t>
  </si>
  <si>
    <t>Shawn Bradford</t>
  </si>
  <si>
    <t>sbradford@deshazo.com</t>
  </si>
  <si>
    <t>+1 256-616-1255</t>
  </si>
  <si>
    <t>Shawn</t>
  </si>
  <si>
    <t>Bradford</t>
  </si>
  <si>
    <t>+1 256-355-0800</t>
  </si>
  <si>
    <t>Tray Ivey</t>
  </si>
  <si>
    <t>tivey@deshazo.com</t>
  </si>
  <si>
    <t>Tray</t>
  </si>
  <si>
    <t>Ivey</t>
  </si>
  <si>
    <t>Vice President Service</t>
  </si>
  <si>
    <t>+1 205-621-1217</t>
  </si>
  <si>
    <t>Alex Jones</t>
  </si>
  <si>
    <t>ajones@deshazo.com</t>
  </si>
  <si>
    <t>Chris McCulley</t>
  </si>
  <si>
    <t>cmcculley@deshazo.com</t>
  </si>
  <si>
    <t>McCulley</t>
  </si>
  <si>
    <t>President</t>
  </si>
  <si>
    <t>Doug Phillips</t>
  </si>
  <si>
    <t>jphillips@deshazo.com</t>
  </si>
  <si>
    <t>Quotations</t>
  </si>
  <si>
    <t>+1 161-528-7820 ext 0</t>
  </si>
  <si>
    <t>Telecommunication Engineer For Franke Fo</t>
  </si>
  <si>
    <t>Technical Product Support Director North</t>
  </si>
  <si>
    <t>Jeremy Baker</t>
  </si>
  <si>
    <t>Prism Systems</t>
  </si>
  <si>
    <t>jeremy.baker@prismsystems.com</t>
  </si>
  <si>
    <t>Jim Hogue</t>
  </si>
  <si>
    <t>jim.hogue@prismsystems.com</t>
  </si>
  <si>
    <t>Hogue</t>
  </si>
  <si>
    <t>Sourcing</t>
  </si>
  <si>
    <t>+1 251-341-1140</t>
  </si>
  <si>
    <t>Keith Jones</t>
  </si>
  <si>
    <t>kjones@prismsystems.com</t>
  </si>
  <si>
    <t>+1 251-375-2384</t>
  </si>
  <si>
    <t>Kevin Kirby</t>
  </si>
  <si>
    <t>kevin.kirby@prismsystems.com</t>
  </si>
  <si>
    <t>Kirby</t>
  </si>
  <si>
    <t>Product specialist</t>
  </si>
  <si>
    <t>Mel Stacey</t>
  </si>
  <si>
    <t>mel.stacey@prismsystems.com</t>
  </si>
  <si>
    <t>Mel</t>
  </si>
  <si>
    <t>Panel Shop</t>
  </si>
  <si>
    <t>Alpha Integration La Vergne, TN</t>
  </si>
  <si>
    <t>jadams@alphaintegration.com</t>
  </si>
  <si>
    <t>Joseph</t>
  </si>
  <si>
    <t>Adams</t>
  </si>
  <si>
    <t>+1 615-898-6200</t>
  </si>
  <si>
    <t>Patrick Bates</t>
  </si>
  <si>
    <t>pbates@alphaintegration.com</t>
  </si>
  <si>
    <t>Bates</t>
  </si>
  <si>
    <t>Ricky Beech</t>
  </si>
  <si>
    <t>cbeech@alphaintegration.com</t>
  </si>
  <si>
    <t>Ricky</t>
  </si>
  <si>
    <t>Beech</t>
  </si>
  <si>
    <t>jdrake@alphaintegration.com</t>
  </si>
  <si>
    <t>Drake</t>
  </si>
  <si>
    <t>dellis@alphaintegration.com</t>
  </si>
  <si>
    <t>+1 615-898-6251</t>
  </si>
  <si>
    <t>Ellis</t>
  </si>
  <si>
    <t>zkoontz@alphaintegration.com</t>
  </si>
  <si>
    <t>Zac</t>
  </si>
  <si>
    <t>Koontz</t>
  </si>
  <si>
    <t>smchorney@alphaintegration.com</t>
  </si>
  <si>
    <t>McHorney</t>
  </si>
  <si>
    <t>dphoxang@alphaintegration.com</t>
  </si>
  <si>
    <t>Phoxay</t>
  </si>
  <si>
    <t>kshrum@alphaintegration.com</t>
  </si>
  <si>
    <t>+1 615-898-6219</t>
  </si>
  <si>
    <t>Shrum</t>
  </si>
  <si>
    <t>CHROMALOX ATTN: DAVID SPECK</t>
  </si>
  <si>
    <t>Carol</t>
  </si>
  <si>
    <t>Barrett</t>
  </si>
  <si>
    <t>Adio</t>
  </si>
  <si>
    <t>Dena</t>
  </si>
  <si>
    <t>Dye</t>
  </si>
  <si>
    <t>Maja</t>
  </si>
  <si>
    <t>Estil</t>
  </si>
  <si>
    <t>Herman</t>
  </si>
  <si>
    <t>Huff</t>
  </si>
  <si>
    <t>Danylo "Danny"</t>
  </si>
  <si>
    <t>Kravchenko</t>
  </si>
  <si>
    <t>Blair</t>
  </si>
  <si>
    <t>McLean</t>
  </si>
  <si>
    <t>PCB Expert</t>
  </si>
  <si>
    <t>Speck</t>
  </si>
  <si>
    <t>Ee</t>
  </si>
  <si>
    <t>+1 615-213-8177</t>
  </si>
  <si>
    <t>Bran Young</t>
  </si>
  <si>
    <t>Bran</t>
  </si>
  <si>
    <t>Cody Burns</t>
  </si>
  <si>
    <t>Ropak</t>
  </si>
  <si>
    <t>Cody</t>
  </si>
  <si>
    <t>Burns</t>
  </si>
  <si>
    <t>+1 256-350-4241</t>
  </si>
  <si>
    <t>Dean Calder</t>
  </si>
  <si>
    <t>Dean.calder@weatherford.com</t>
  </si>
  <si>
    <t>Dean</t>
  </si>
  <si>
    <t>Calder</t>
  </si>
  <si>
    <t>PLM</t>
  </si>
  <si>
    <t>+1 281-348-1804</t>
  </si>
  <si>
    <t>Matt Carroll</t>
  </si>
  <si>
    <t>matt.carroll@ropak.com</t>
  </si>
  <si>
    <t>Carroll</t>
  </si>
  <si>
    <t>Michael Chavira</t>
  </si>
  <si>
    <t>michael.chavira@weatherford.com</t>
  </si>
  <si>
    <t>Chavira</t>
  </si>
  <si>
    <t>Engineering Supervisor</t>
  </si>
  <si>
    <t>+1 281-348-1171</t>
  </si>
  <si>
    <t>Charles Dang</t>
  </si>
  <si>
    <t>charles.dang@weatherford.com</t>
  </si>
  <si>
    <t>Dang</t>
  </si>
  <si>
    <t>+1 281-348-1765</t>
  </si>
  <si>
    <t>Rich Faulhaber</t>
  </si>
  <si>
    <t>rich.faulhaber@ropak.com</t>
  </si>
  <si>
    <t>Rich</t>
  </si>
  <si>
    <t>Faulhaber</t>
  </si>
  <si>
    <t>+1 205-350-4241 ext 205</t>
  </si>
  <si>
    <t>Andrew Fenton</t>
  </si>
  <si>
    <t>andrew.fenton@ropak.com</t>
  </si>
  <si>
    <t>Fenton</t>
  </si>
  <si>
    <t>Luis Garcia</t>
  </si>
  <si>
    <t>luis.garcia@weatherford.com</t>
  </si>
  <si>
    <t>Research and Development</t>
  </si>
  <si>
    <t>+1 281-348-1105</t>
  </si>
  <si>
    <t>DAN HOANG</t>
  </si>
  <si>
    <t>DAN.HOANG@WEATHERFORD.COM</t>
  </si>
  <si>
    <t>DAN</t>
  </si>
  <si>
    <t>HOANG</t>
  </si>
  <si>
    <t>RandD SR MECHANICAL ENGINEER</t>
  </si>
  <si>
    <t>+1 281-892-0566</t>
  </si>
  <si>
    <t>MOBINA KHAN</t>
  </si>
  <si>
    <t>Mobina.khan@weatherford.com</t>
  </si>
  <si>
    <t>MOBINA</t>
  </si>
  <si>
    <t>KHAN</t>
  </si>
  <si>
    <t>+1 281-348-1892</t>
  </si>
  <si>
    <t>Ernest Matthews</t>
  </si>
  <si>
    <t>Ernest</t>
  </si>
  <si>
    <t>Matthews</t>
  </si>
  <si>
    <t>Phillip Matthews</t>
  </si>
  <si>
    <t>Richard Matthews</t>
  </si>
  <si>
    <t>richard.matthews@ropak.com</t>
  </si>
  <si>
    <t>EE</t>
  </si>
  <si>
    <t>Ross Moffett</t>
  </si>
  <si>
    <t>ross.moffett@weatherford.com</t>
  </si>
  <si>
    <t>Moffett</t>
  </si>
  <si>
    <t>+1 405-416-3835</t>
  </si>
  <si>
    <t>Younus Mohammed</t>
  </si>
  <si>
    <t>yonus.mohammed@weatherford.com</t>
  </si>
  <si>
    <t>Younus</t>
  </si>
  <si>
    <t>Mohammed</t>
  </si>
  <si>
    <t>Control System Engineer</t>
  </si>
  <si>
    <t>+1 281-217-0410</t>
  </si>
  <si>
    <t>Simon Mortimer Mortimer</t>
  </si>
  <si>
    <t>simon.mortimer@weatherford.com</t>
  </si>
  <si>
    <t>Simon Mortimer</t>
  </si>
  <si>
    <t>Mortimer</t>
  </si>
  <si>
    <t>Global Technical Manager</t>
  </si>
  <si>
    <t>+1 281-260-5700</t>
  </si>
  <si>
    <t>Fernando Mundo</t>
  </si>
  <si>
    <t>fernando.mundo@weatherford.com</t>
  </si>
  <si>
    <t>Fernando</t>
  </si>
  <si>
    <t>Mundo</t>
  </si>
  <si>
    <t>Technical Representative</t>
  </si>
  <si>
    <t>+1 832-525-7408</t>
  </si>
  <si>
    <t>Pat Seely</t>
  </si>
  <si>
    <t>patrick.seely2@weatherford.com</t>
  </si>
  <si>
    <t>Pat</t>
  </si>
  <si>
    <t>Seely</t>
  </si>
  <si>
    <t>Sr Mech Engineer</t>
  </si>
  <si>
    <t>Rick Stickles</t>
  </si>
  <si>
    <t>Stickles</t>
  </si>
  <si>
    <t>Chris McNeese</t>
  </si>
  <si>
    <t>Air Hydro Power</t>
  </si>
  <si>
    <t>cmcneese@airhydropower.com</t>
  </si>
  <si>
    <t>McNeese</t>
  </si>
  <si>
    <t>+1 228-219-2255</t>
  </si>
  <si>
    <t>One Off Robotics Chattanooga, TN</t>
  </si>
  <si>
    <t>+1 423-762-1020</t>
  </si>
  <si>
    <t>+1 423-380-8098</t>
  </si>
  <si>
    <t>Brandon Ellis</t>
  </si>
  <si>
    <t>elliTek, Inc</t>
  </si>
  <si>
    <t>brandon.ellis@elliTek.com</t>
  </si>
  <si>
    <t>+1 865-661-8947</t>
  </si>
  <si>
    <t>+1 865-409-1555 ext 800</t>
  </si>
  <si>
    <t>Timberlie Ellis</t>
  </si>
  <si>
    <t>timberlie.ellis@elliTek.com</t>
  </si>
  <si>
    <t>Timberlie</t>
  </si>
  <si>
    <t>+1 865-409-1555 ext 807</t>
  </si>
  <si>
    <t>Tony Ellis</t>
  </si>
  <si>
    <t>tony.ellis@elliTek.com</t>
  </si>
  <si>
    <t>Automation Tool Company ATC</t>
  </si>
  <si>
    <t>Dimas</t>
  </si>
  <si>
    <t>Arande</t>
  </si>
  <si>
    <t>+1 931-528-5417</t>
  </si>
  <si>
    <t>Kenny</t>
  </si>
  <si>
    <t>Bouton</t>
  </si>
  <si>
    <t>Business Unit Manager - Alpha Team Lead</t>
  </si>
  <si>
    <t>Rick Brown</t>
  </si>
  <si>
    <t>rick.brown@atcautomation.com</t>
  </si>
  <si>
    <t>Machine Designer - Extreme Team</t>
  </si>
  <si>
    <t>Andy Cannon</t>
  </si>
  <si>
    <t>andyc@automationtool.com</t>
  </si>
  <si>
    <t>Controls / Electrical Designer</t>
  </si>
  <si>
    <t>L</t>
  </si>
  <si>
    <t>Cataloes</t>
  </si>
  <si>
    <t>Cobble</t>
  </si>
  <si>
    <t>E.E.</t>
  </si>
  <si>
    <t>Dave Collins</t>
  </si>
  <si>
    <t>Collins</t>
  </si>
  <si>
    <t>Bullet Controls Engineer</t>
  </si>
  <si>
    <t>JUstin</t>
  </si>
  <si>
    <t>Dement</t>
  </si>
  <si>
    <t>Josiah Deson</t>
  </si>
  <si>
    <t>Josiahd@atcautomation.com</t>
  </si>
  <si>
    <t>+1 666</t>
  </si>
  <si>
    <t>Josiah</t>
  </si>
  <si>
    <t>Deson</t>
  </si>
  <si>
    <t>blah</t>
  </si>
  <si>
    <t>Mickey Deweese</t>
  </si>
  <si>
    <t>Mickey</t>
  </si>
  <si>
    <t>Deweese</t>
  </si>
  <si>
    <t>Dietz</t>
  </si>
  <si>
    <t>Josh Forgey</t>
  </si>
  <si>
    <t>joshf@atcautomation.com</t>
  </si>
  <si>
    <t>Forgey</t>
  </si>
  <si>
    <t>Electrical Design / Controls Engineer</t>
  </si>
  <si>
    <t>Neill Gathings</t>
  </si>
  <si>
    <t>neillg@atcautomation.com</t>
  </si>
  <si>
    <t>Neill</t>
  </si>
  <si>
    <t>Gathings</t>
  </si>
  <si>
    <t>Business Unit Manager</t>
  </si>
  <si>
    <t>Cale Goethals</t>
  </si>
  <si>
    <t>cgoethals@atcautomation.com</t>
  </si>
  <si>
    <t>Cale</t>
  </si>
  <si>
    <t>Goethals</t>
  </si>
  <si>
    <t>Nathan Gooch</t>
  </si>
  <si>
    <t>ngooch@atcautomation.com</t>
  </si>
  <si>
    <t>Gooch</t>
  </si>
  <si>
    <t>Lee Hathinson</t>
  </si>
  <si>
    <t>Lee</t>
  </si>
  <si>
    <t>Hathinson</t>
  </si>
  <si>
    <t>Fusion Team Lead</t>
  </si>
  <si>
    <t>Travis "TJ" Jares</t>
  </si>
  <si>
    <t>Travis "TJ"</t>
  </si>
  <si>
    <t>Jares</t>
  </si>
  <si>
    <t>Bullet Team Lead</t>
  </si>
  <si>
    <t>Controls Designer - Alpha Team</t>
  </si>
  <si>
    <t>Raymond Kilpatrick</t>
  </si>
  <si>
    <t>raymondk490@gmail.com</t>
  </si>
  <si>
    <t>+1 931-267-1898</t>
  </si>
  <si>
    <t>Raymond</t>
  </si>
  <si>
    <t>Kilpatrick</t>
  </si>
  <si>
    <t>Kossa</t>
  </si>
  <si>
    <t>Controls - Phoenix Team</t>
  </si>
  <si>
    <t>Clem</t>
  </si>
  <si>
    <t>Lead Electrician</t>
  </si>
  <si>
    <t>Greg Loftos</t>
  </si>
  <si>
    <t>cgloftos@atcautomation.com</t>
  </si>
  <si>
    <t>+1 931-979-1221</t>
  </si>
  <si>
    <t>Loftos</t>
  </si>
  <si>
    <t>Maynor</t>
  </si>
  <si>
    <t>Jake</t>
  </si>
  <si>
    <t>McGusland</t>
  </si>
  <si>
    <t>+1 JAK-EMA-TCAU ext TOMATIONCO</t>
  </si>
  <si>
    <t>Eric Moroge</t>
  </si>
  <si>
    <t>ericm@atcautomation.com</t>
  </si>
  <si>
    <t>Moroge</t>
  </si>
  <si>
    <t>Faune</t>
  </si>
  <si>
    <t>Nunnery</t>
  </si>
  <si>
    <t>Pahnke</t>
  </si>
  <si>
    <t>Controls</t>
  </si>
  <si>
    <t>Presley</t>
  </si>
  <si>
    <t>Ben Reed</t>
  </si>
  <si>
    <t>breed@atcautomation.com</t>
  </si>
  <si>
    <t>Reed</t>
  </si>
  <si>
    <t>Noah Reed</t>
  </si>
  <si>
    <t>noahr@atcautomation.com</t>
  </si>
  <si>
    <t>Micah</t>
  </si>
  <si>
    <t>Rentschler</t>
  </si>
  <si>
    <t>Controls/Electrical Design</t>
  </si>
  <si>
    <t>Riddle</t>
  </si>
  <si>
    <t>Randall Sbivey</t>
  </si>
  <si>
    <t>randysbvivey1973@gmail.com</t>
  </si>
  <si>
    <t>Sbivey</t>
  </si>
  <si>
    <t>Zeke</t>
  </si>
  <si>
    <t>Shauer</t>
  </si>
  <si>
    <t>Slaver</t>
  </si>
  <si>
    <t>Jimmy</t>
  </si>
  <si>
    <t>Strong</t>
  </si>
  <si>
    <t>Electrician - Phoenix Team</t>
  </si>
  <si>
    <t>Phil</t>
  </si>
  <si>
    <t>Rick White</t>
  </si>
  <si>
    <t>Donny</t>
  </si>
  <si>
    <t>Winningham</t>
  </si>
  <si>
    <t>Wix</t>
  </si>
  <si>
    <t>Mike Yackel</t>
  </si>
  <si>
    <t>Michaely@atcautomation.com</t>
  </si>
  <si>
    <t>Yackel</t>
  </si>
  <si>
    <t>Derrick Yates</t>
  </si>
  <si>
    <t>dyates@atcautomation.com</t>
  </si>
  <si>
    <t>Yates</t>
  </si>
  <si>
    <t>Zoodsma</t>
  </si>
  <si>
    <t>Chris C</t>
  </si>
  <si>
    <t>C</t>
  </si>
  <si>
    <t>+1 122-821-9225 ext 5</t>
  </si>
  <si>
    <t>Beau Carter</t>
  </si>
  <si>
    <t>beaucarter@powermotion.net</t>
  </si>
  <si>
    <t>Beau</t>
  </si>
  <si>
    <t>Industrial</t>
  </si>
  <si>
    <t>Jamie Fox</t>
  </si>
  <si>
    <t>Fox</t>
  </si>
  <si>
    <t>+1 205-945-1931</t>
  </si>
  <si>
    <t>Joe McNeil</t>
  </si>
  <si>
    <t>jmcneill@airhydropower.com</t>
  </si>
  <si>
    <t>McNeil</t>
  </si>
  <si>
    <t>Alex Onushko</t>
  </si>
  <si>
    <t>aonushko@airhydropower.com</t>
  </si>
  <si>
    <t>+1 205-962-4537</t>
  </si>
  <si>
    <t>Onushko</t>
  </si>
  <si>
    <t>Head of Purchasing</t>
  </si>
  <si>
    <t>Callahan</t>
  </si>
  <si>
    <t>Colorado</t>
  </si>
  <si>
    <t>+1 615-582-4582</t>
  </si>
  <si>
    <t>Craig</t>
  </si>
  <si>
    <t>Ian</t>
  </si>
  <si>
    <t>Douglas</t>
  </si>
  <si>
    <t>Kerolos</t>
  </si>
  <si>
    <t>Gerges</t>
  </si>
  <si>
    <t>john Killgo</t>
  </si>
  <si>
    <t>john</t>
  </si>
  <si>
    <t>Killgo</t>
  </si>
  <si>
    <t>Namo</t>
  </si>
  <si>
    <t>Nadir</t>
  </si>
  <si>
    <t>Nate</t>
  </si>
  <si>
    <t>najib.sequias@hotmail.com</t>
  </si>
  <si>
    <t>Najib</t>
  </si>
  <si>
    <t>Sequias</t>
  </si>
  <si>
    <t>Slagle</t>
  </si>
  <si>
    <t>Terebinski</t>
  </si>
  <si>
    <t>Jeffrey Allen</t>
  </si>
  <si>
    <t>HYLA Mobile - an Assurant Company La Vergne, TN</t>
  </si>
  <si>
    <t>jeffrey.allen@assurant.com</t>
  </si>
  <si>
    <t>Jeffrey</t>
  </si>
  <si>
    <t>+1 404-433-6736</t>
  </si>
  <si>
    <t>william.a.jones@assurant.com</t>
  </si>
  <si>
    <t>+1 629-401-3714</t>
  </si>
  <si>
    <t>Lorik Automation</t>
  </si>
  <si>
    <t>jmashburn@lorik.us</t>
  </si>
  <si>
    <t>Mashburn</t>
  </si>
  <si>
    <t>Owner/Engineering Manager</t>
  </si>
  <si>
    <t>Bell</t>
  </si>
  <si>
    <t>+1 615-734-6400</t>
  </si>
  <si>
    <t>Boyd</t>
  </si>
  <si>
    <t>+1 615-734-6400 ext 4010</t>
  </si>
  <si>
    <t>Byron</t>
  </si>
  <si>
    <t>Senior R&amp;D Technician</t>
  </si>
  <si>
    <t>+1 615-835-3299</t>
  </si>
  <si>
    <t>Engineering Manager</t>
  </si>
  <si>
    <t>Ebert</t>
  </si>
  <si>
    <t>Stefanie</t>
  </si>
  <si>
    <t>House</t>
  </si>
  <si>
    <t>Snodderly</t>
  </si>
  <si>
    <t>Curtis</t>
  </si>
  <si>
    <t>Tiffner</t>
  </si>
  <si>
    <t>Production/Maintenance</t>
  </si>
  <si>
    <t>Air Hydro Power - Huntsville</t>
  </si>
  <si>
    <t>bcarter@airhydropower.com</t>
  </si>
  <si>
    <t>+1 205-908-3166</t>
  </si>
  <si>
    <t>Keith Robertson</t>
  </si>
  <si>
    <t>krobertson@airhydropower.com</t>
  </si>
  <si>
    <t>Sales Manager</t>
  </si>
  <si>
    <t>+1 917-230-5174</t>
  </si>
  <si>
    <t>,</t>
  </si>
  <si>
    <t>Brandon Lee</t>
  </si>
  <si>
    <t>Drew Tooley</t>
  </si>
  <si>
    <t>I/O Demo with 750-495</t>
  </si>
  <si>
    <t>20250326</t>
  </si>
  <si>
    <t>Jeff Bertucci</t>
  </si>
  <si>
    <t>William Teising</t>
  </si>
  <si>
    <t>Brian Simpson</t>
  </si>
  <si>
    <t>Khalil Chmayssani</t>
  </si>
  <si>
    <t>Bill Johanan</t>
  </si>
  <si>
    <t>William.Teising@Franke.com</t>
  </si>
  <si>
    <t>Brian.Simpson@Franke.com</t>
  </si>
  <si>
    <t>Khalil.Chmayssani@Franke.com</t>
  </si>
  <si>
    <t>Bill.Johanan@Franke.com</t>
  </si>
  <si>
    <t>Jeff.Bertucci@Franke.com</t>
  </si>
  <si>
    <t>IIAT Visit</t>
  </si>
  <si>
    <t>Nick Thomas</t>
  </si>
  <si>
    <t>Frankie Brewer</t>
  </si>
  <si>
    <t>20250410</t>
  </si>
  <si>
    <t>20250408</t>
  </si>
  <si>
    <t>Lunch n Learn</t>
  </si>
  <si>
    <t>First Visit - Distributor Training setup</t>
  </si>
  <si>
    <t>20250429</t>
  </si>
  <si>
    <t>Kevin Lee</t>
  </si>
  <si>
    <t>Scott Castleberry</t>
  </si>
  <si>
    <t>Jack Fox</t>
  </si>
  <si>
    <t>Mustafa Muneer</t>
  </si>
  <si>
    <t>James Jones</t>
  </si>
  <si>
    <t>Tom Young</t>
  </si>
  <si>
    <t>John Broadhead</t>
  </si>
  <si>
    <t>Chance Davis</t>
  </si>
  <si>
    <t>Nathan Larson</t>
  </si>
  <si>
    <t>Brandon Loyd</t>
  </si>
  <si>
    <t>Dylan Dispennette</t>
  </si>
  <si>
    <t>Aiden Niamon</t>
  </si>
  <si>
    <t>cphillips@gfpuhl.com</t>
  </si>
  <si>
    <t>+1 615-230-9500</t>
  </si>
  <si>
    <t>jpoole@gfpuhl.com</t>
  </si>
  <si>
    <t>+1 615-308-4434</t>
  </si>
  <si>
    <t>eramirez@gfpuhl.com</t>
  </si>
  <si>
    <t>Erick</t>
  </si>
  <si>
    <t>Ramirez</t>
  </si>
  <si>
    <t>jwilson@gfpuhl.com</t>
  </si>
  <si>
    <t>PE Dan Bertell</t>
  </si>
  <si>
    <t>AutomatiCoding Inc. Hendersonville</t>
  </si>
  <si>
    <t>dan.bertell@automaticoding.com</t>
  </si>
  <si>
    <t>PE Dan</t>
  </si>
  <si>
    <t>Bertell</t>
  </si>
  <si>
    <t>+1 615-207-9035</t>
  </si>
  <si>
    <t>Wingfield Scale and Measure</t>
  </si>
  <si>
    <t>rcosta@wingfieldscale.com</t>
  </si>
  <si>
    <t>Costa</t>
  </si>
  <si>
    <t>James Kenney</t>
  </si>
  <si>
    <t>jkenney@wingfieldscale.com</t>
  </si>
  <si>
    <t>Kenney</t>
  </si>
  <si>
    <t>Pro Charging Systems, LLC</t>
  </si>
  <si>
    <t>+1 615-471-5325</t>
  </si>
  <si>
    <t xml:space="preserve"> Purchasing</t>
  </si>
  <si>
    <t>purchasing@pcsdv.com</t>
  </si>
  <si>
    <t>+1 615-471-5300</t>
  </si>
  <si>
    <t>Amit Chandna</t>
  </si>
  <si>
    <t>Horticulture Lighting Group Maynardville, TN</t>
  </si>
  <si>
    <t>northerngrowlights@gmail.com</t>
  </si>
  <si>
    <t>Ladies and Gentlemen</t>
  </si>
  <si>
    <t>Amit</t>
  </si>
  <si>
    <t>Chandna</t>
  </si>
  <si>
    <t>+1 865-770-1231</t>
  </si>
  <si>
    <t>Karen Chesney</t>
  </si>
  <si>
    <t>Repair</t>
  </si>
  <si>
    <t>joe@hlg.com</t>
  </si>
  <si>
    <t>+1 877-445-5433 ext X702</t>
  </si>
  <si>
    <t>Combs</t>
  </si>
  <si>
    <t>Stephen Johnson</t>
  </si>
  <si>
    <t>steve@horticulturelightinggroup.com</t>
  </si>
  <si>
    <t>+1 865-640-4647</t>
  </si>
  <si>
    <t>Co-Founder</t>
  </si>
  <si>
    <t>scott@hlg.com</t>
  </si>
  <si>
    <t>Odom</t>
  </si>
  <si>
    <t>Joseph Coffia</t>
  </si>
  <si>
    <t>josephc@greentechenv.com</t>
  </si>
  <si>
    <t>+1 423-972-7385</t>
  </si>
  <si>
    <t>Coffia</t>
  </si>
  <si>
    <t>+1 423-207-0235</t>
  </si>
  <si>
    <t>+1 423-646-4631</t>
  </si>
  <si>
    <t>Gary</t>
  </si>
  <si>
    <t>Endres</t>
  </si>
  <si>
    <t>IT/CAD Engineer</t>
  </si>
  <si>
    <t>Jamie J</t>
  </si>
  <si>
    <t>jamiej@greentechenv.com</t>
  </si>
  <si>
    <t>J</t>
  </si>
  <si>
    <t>Alan Walker</t>
  </si>
  <si>
    <t>alanw@greentechenv.com</t>
  </si>
  <si>
    <t>+1 423-360-1854</t>
  </si>
  <si>
    <t>+1 423-545-4612</t>
  </si>
  <si>
    <t>Jeff Birdsong</t>
  </si>
  <si>
    <t>DRM, LLC</t>
  </si>
  <si>
    <t>+1 931-215-0225</t>
  </si>
  <si>
    <t>Birdsong</t>
  </si>
  <si>
    <t>Technician</t>
  </si>
  <si>
    <t>+1 931-766-4501</t>
  </si>
  <si>
    <t>barry.brian@drmcontrols.com</t>
  </si>
  <si>
    <t>+1 931-215-0232</t>
  </si>
  <si>
    <t>+1 931-766-4500</t>
  </si>
  <si>
    <t>Tracy Burleson</t>
  </si>
  <si>
    <t>Burleson</t>
  </si>
  <si>
    <t>Colt Burns</t>
  </si>
  <si>
    <t>colt.burns@drmcontrols.com</t>
  </si>
  <si>
    <t>+1 931-201-2507</t>
  </si>
  <si>
    <t>Colt</t>
  </si>
  <si>
    <t>Archie Chunn</t>
  </si>
  <si>
    <t>Archie</t>
  </si>
  <si>
    <t>Chunn</t>
  </si>
  <si>
    <t>Doyle Cooper</t>
  </si>
  <si>
    <t>doyle.cooper@drmcontrols.com</t>
  </si>
  <si>
    <t>+1 931-215-0475</t>
  </si>
  <si>
    <t>Doyle</t>
  </si>
  <si>
    <t>+1 931-766-4516</t>
  </si>
  <si>
    <t>Daniel Cox</t>
  </si>
  <si>
    <t>daniel.cox@drmcontrols.com</t>
  </si>
  <si>
    <t>Crouch</t>
  </si>
  <si>
    <t>Newman Garland</t>
  </si>
  <si>
    <t>Newman</t>
  </si>
  <si>
    <t>Garland</t>
  </si>
  <si>
    <t>Tracy Hammond</t>
  </si>
  <si>
    <t>tracy.hammond@drmcontrols.com</t>
  </si>
  <si>
    <t>+1 931-215-6986</t>
  </si>
  <si>
    <t>Hammond</t>
  </si>
  <si>
    <t>Chris Hunter</t>
  </si>
  <si>
    <t>Roger Killen</t>
  </si>
  <si>
    <t>Roger</t>
  </si>
  <si>
    <t>Killen</t>
  </si>
  <si>
    <t>Ryan Martin</t>
  </si>
  <si>
    <t>Kerry Mashburn</t>
  </si>
  <si>
    <t>kerry.mashburn@drmcontrols.com</t>
  </si>
  <si>
    <t>Kerry</t>
  </si>
  <si>
    <t>Purchasing Manager</t>
  </si>
  <si>
    <t>Tony Morgan</t>
  </si>
  <si>
    <t>tony.morgan@drmcontrols.com</t>
  </si>
  <si>
    <t>Morgan</t>
  </si>
  <si>
    <t>William Norwood</t>
  </si>
  <si>
    <t>Norwood</t>
  </si>
  <si>
    <t>Jerry Roebuck</t>
  </si>
  <si>
    <t>Jerry</t>
  </si>
  <si>
    <t>Roebuck</t>
  </si>
  <si>
    <t>Tyler Sisk</t>
  </si>
  <si>
    <t>Sisk</t>
  </si>
  <si>
    <t>Brent Staggs</t>
  </si>
  <si>
    <t>Staggs</t>
  </si>
  <si>
    <t>TVA - Fort Loudoun Hydro Lenoir City</t>
  </si>
  <si>
    <t>FLH</t>
  </si>
  <si>
    <t>+1 865-633-6703</t>
  </si>
  <si>
    <t>DGH</t>
  </si>
  <si>
    <t>Li Sheng</t>
  </si>
  <si>
    <t>Pan</t>
  </si>
  <si>
    <t>Controls/Electrical Engineer</t>
  </si>
  <si>
    <t>MHH</t>
  </si>
  <si>
    <t>+1 423-322-0454</t>
  </si>
  <si>
    <t>John Allbrect</t>
  </si>
  <si>
    <t>johnallbrect@adveng.com</t>
  </si>
  <si>
    <t>Allbrect</t>
  </si>
  <si>
    <t>+1 615-771-6500</t>
  </si>
  <si>
    <t>Richard Brackett</t>
  </si>
  <si>
    <t>richardb@adveng.com</t>
  </si>
  <si>
    <t>Brackett</t>
  </si>
  <si>
    <t>+1 615-815-2605</t>
  </si>
  <si>
    <t>garrettb@advengg.com</t>
  </si>
  <si>
    <t>Jim Compson</t>
  </si>
  <si>
    <t>jimc@adveng.com</t>
  </si>
  <si>
    <t>Compson</t>
  </si>
  <si>
    <t>MichaelD@adveng.com</t>
  </si>
  <si>
    <t>Michael Doebelin</t>
  </si>
  <si>
    <t>michaeldoebelin@adveng.com</t>
  </si>
  <si>
    <t>+1 615-424-8500</t>
  </si>
  <si>
    <t>Doebelin</t>
  </si>
  <si>
    <t>+1 615-815-2641</t>
  </si>
  <si>
    <t>Rusty Fish</t>
  </si>
  <si>
    <t>rustyf@adveng.com</t>
  </si>
  <si>
    <t>Rusty</t>
  </si>
  <si>
    <t>Fish</t>
  </si>
  <si>
    <t>Electrical Eng</t>
  </si>
  <si>
    <t>Timothy Gidcumb</t>
  </si>
  <si>
    <t>timg@adveng.com</t>
  </si>
  <si>
    <t>Gidcumb</t>
  </si>
  <si>
    <t>Senior Programmer</t>
  </si>
  <si>
    <t>+1 270-847-0443</t>
  </si>
  <si>
    <t>Heath Griffin</t>
  </si>
  <si>
    <t>Heath</t>
  </si>
  <si>
    <t>Griffin</t>
  </si>
  <si>
    <t>Tech</t>
  </si>
  <si>
    <t>Gene Gwyn</t>
  </si>
  <si>
    <t>gwyngene@bfusa.com</t>
  </si>
  <si>
    <t>+1 615-804-4410</t>
  </si>
  <si>
    <t>Gene</t>
  </si>
  <si>
    <t>Gwyn</t>
  </si>
  <si>
    <t>Project Eng</t>
  </si>
  <si>
    <t>Kevin Mack</t>
  </si>
  <si>
    <t>kevinm@adveng.com</t>
  </si>
  <si>
    <t>Mack</t>
  </si>
  <si>
    <t>+1 615-585-5532</t>
  </si>
  <si>
    <t>Rob Martin</t>
  </si>
  <si>
    <t>robm@adveng.com</t>
  </si>
  <si>
    <t>Programmer</t>
  </si>
  <si>
    <t>Desmond Miller</t>
  </si>
  <si>
    <t>desmondm@adveng.com</t>
  </si>
  <si>
    <t>+1 615-415-5320</t>
  </si>
  <si>
    <t>Desmond</t>
  </si>
  <si>
    <t>Muncy</t>
  </si>
  <si>
    <t>Jim Neufeldt</t>
  </si>
  <si>
    <t>jimn@adveng.com</t>
  </si>
  <si>
    <t>Neufeldt</t>
  </si>
  <si>
    <t>Chris Parchment</t>
  </si>
  <si>
    <t>chrisp@adveng.com</t>
  </si>
  <si>
    <t>Parchment</t>
  </si>
  <si>
    <t>Panel Builder</t>
  </si>
  <si>
    <t>Paul Schendel</t>
  </si>
  <si>
    <t>Schendel</t>
  </si>
  <si>
    <t>Joey Sisk</t>
  </si>
  <si>
    <t>joeys@adveng.com</t>
  </si>
  <si>
    <t>Al Swafford</t>
  </si>
  <si>
    <t>alswafford@adveng.com</t>
  </si>
  <si>
    <t>Al</t>
  </si>
  <si>
    <t>Swafford</t>
  </si>
  <si>
    <t>VP of Sales</t>
  </si>
  <si>
    <t>Bruce Teed</t>
  </si>
  <si>
    <t>BruceT@adveng.com</t>
  </si>
  <si>
    <t>Teed</t>
  </si>
  <si>
    <t>Joseph "Joe" Thatcher</t>
  </si>
  <si>
    <t>jthatcher@adveng.com</t>
  </si>
  <si>
    <t>Joseph "Joe"</t>
  </si>
  <si>
    <t>Kevin Whitaker</t>
  </si>
  <si>
    <t>Whitaker</t>
  </si>
  <si>
    <t>Electrician Foreman</t>
  </si>
  <si>
    <t>briany@advengg.com</t>
  </si>
  <si>
    <t>Viskase Loudon, TN</t>
  </si>
  <si>
    <t>Mark.Gray@viskase.com</t>
  </si>
  <si>
    <t>+1 865-253-0535</t>
  </si>
  <si>
    <t>Gray</t>
  </si>
  <si>
    <t>+1 865-458-2071</t>
  </si>
  <si>
    <t>chris.williams@viskase.com</t>
  </si>
  <si>
    <t>russella@pioneerleveler.com</t>
  </si>
  <si>
    <t>Ariks</t>
  </si>
  <si>
    <t>+1 931-487-5005</t>
  </si>
  <si>
    <t xml:space="preserve"> Prabhakar</t>
  </si>
  <si>
    <t>controls@catrobotics.in</t>
  </si>
  <si>
    <t>+91 9011076095</t>
  </si>
  <si>
    <t>Prabhakar</t>
  </si>
  <si>
    <t>Electrical</t>
  </si>
  <si>
    <t>Electrical - Panel Shop Lead</t>
  </si>
  <si>
    <t>Head of Sales/Marketing</t>
  </si>
  <si>
    <t>Andy Ask</t>
  </si>
  <si>
    <t>PREMIER SYSTEM INTEGRATORS ATTN: LAURA BINSON</t>
  </si>
  <si>
    <t>andy.ask@premier-system.com</t>
  </si>
  <si>
    <t>Ask</t>
  </si>
  <si>
    <t>unknown</t>
  </si>
  <si>
    <t>+1 615-355-7228</t>
  </si>
  <si>
    <t>Laura Binson</t>
  </si>
  <si>
    <t>Laura</t>
  </si>
  <si>
    <t>Binson</t>
  </si>
  <si>
    <t>+1 061-535-5726 ext 2</t>
  </si>
  <si>
    <t>Johnny Black</t>
  </si>
  <si>
    <t>Todd Couch</t>
  </si>
  <si>
    <t>todd.couch@premier-system.com</t>
  </si>
  <si>
    <t>Couch</t>
  </si>
  <si>
    <t>Panel Shop Director</t>
  </si>
  <si>
    <t>bob.higman@premier-system.com</t>
  </si>
  <si>
    <t>Higman</t>
  </si>
  <si>
    <t>Quoting/Vendor Relations</t>
  </si>
  <si>
    <t>David Mccullough</t>
  </si>
  <si>
    <t>Mccullough</t>
  </si>
  <si>
    <t>Ken Moldt</t>
  </si>
  <si>
    <t>ken.moldt@premier-system.com</t>
  </si>
  <si>
    <t>Moldt</t>
  </si>
  <si>
    <t>Keith Payne</t>
  </si>
  <si>
    <t>keith.payne@premier-system.com</t>
  </si>
  <si>
    <t>Little Piping and Mechanical</t>
  </si>
  <si>
    <t>Bracknell</t>
  </si>
  <si>
    <t>SolVIS Automation Knoxville, TN</t>
  </si>
  <si>
    <t>+1 865-686-8868</t>
  </si>
  <si>
    <t>Osborne</t>
  </si>
  <si>
    <t>Bevel</t>
  </si>
  <si>
    <t>+1 931-645-6471</t>
  </si>
  <si>
    <t>Naji</t>
  </si>
  <si>
    <t>Chalita</t>
  </si>
  <si>
    <t>Electrical Designer</t>
  </si>
  <si>
    <t>Ducay</t>
  </si>
  <si>
    <t>CQE - Site Porcurement Leader</t>
  </si>
  <si>
    <t>Saul</t>
  </si>
  <si>
    <t>Esparza</t>
  </si>
  <si>
    <t>Fuqua</t>
  </si>
  <si>
    <t>+1 931-221-3646</t>
  </si>
  <si>
    <t>Garber</t>
  </si>
  <si>
    <t>Unitary EE Manager</t>
  </si>
  <si>
    <t>Karanja</t>
  </si>
  <si>
    <t>Ladner</t>
  </si>
  <si>
    <t>Macvicar</t>
  </si>
  <si>
    <t>Electrical Design Engineer III</t>
  </si>
  <si>
    <t>Mat</t>
  </si>
  <si>
    <t>Wheeler</t>
  </si>
  <si>
    <t>Wray</t>
  </si>
  <si>
    <t>Minhas</t>
  </si>
  <si>
    <t>Zaman</t>
  </si>
  <si>
    <t>steve.getley@millennitek.com</t>
  </si>
  <si>
    <t>Getley</t>
  </si>
  <si>
    <t>jeff.petree@millennitek.com</t>
  </si>
  <si>
    <t>larry.stokely@millennitek.com</t>
  </si>
  <si>
    <t>Stokely</t>
  </si>
  <si>
    <t>Todd "TTT Fenton</t>
  </si>
  <si>
    <t>Star Manufacturing International In Smithville, Tennessee</t>
  </si>
  <si>
    <t>Todd "TTT</t>
  </si>
  <si>
    <t>+1 615-551-8025</t>
  </si>
  <si>
    <t>dhullet@star-mfg.com</t>
  </si>
  <si>
    <t>Hullet</t>
  </si>
  <si>
    <t>amelgar@star-mfg.com</t>
  </si>
  <si>
    <t>Melgar</t>
  </si>
  <si>
    <t>Jason Norris</t>
  </si>
  <si>
    <t>jnorris@star-mfg.com</t>
  </si>
  <si>
    <t>+1 931-273-3389</t>
  </si>
  <si>
    <t>kpearson@star-mfg.com</t>
  </si>
  <si>
    <t>K</t>
  </si>
  <si>
    <t>Pearson</t>
  </si>
  <si>
    <t>griggle@star-mfg.com</t>
  </si>
  <si>
    <t>Riggle</t>
  </si>
  <si>
    <t>asmith@star-mfg.com</t>
  </si>
  <si>
    <t>ksmithson@star-mfg.com</t>
  </si>
  <si>
    <t>Kaye</t>
  </si>
  <si>
    <t>Smithson</t>
  </si>
  <si>
    <t>jefft@star-mfg.com</t>
  </si>
  <si>
    <t>+1 615-257-2086</t>
  </si>
  <si>
    <t>Tittsworth</t>
  </si>
  <si>
    <t>Matt Braxton</t>
  </si>
  <si>
    <t>Automation IG Automation Industrial Group, LLC</t>
  </si>
  <si>
    <t>mbraxton@automationig.com</t>
  </si>
  <si>
    <t>Braxton</t>
  </si>
  <si>
    <t>+1 423-875-8862</t>
  </si>
  <si>
    <t>Noah Case</t>
  </si>
  <si>
    <t>ncase@automationig.com</t>
  </si>
  <si>
    <t>Case</t>
  </si>
  <si>
    <t>Nathan Dennis</t>
  </si>
  <si>
    <t>ndennis@automationig.com</t>
  </si>
  <si>
    <t>James Dillard</t>
  </si>
  <si>
    <t>jdillard@automationig.com</t>
  </si>
  <si>
    <t>Dillard</t>
  </si>
  <si>
    <t>Eric Frizel</t>
  </si>
  <si>
    <t>Frizel</t>
  </si>
  <si>
    <t>John Richardson</t>
  </si>
  <si>
    <t>jrichardson@automationig.com</t>
  </si>
  <si>
    <t>Jonathan Rinkel</t>
  </si>
  <si>
    <t>jrinkel@automationig.com</t>
  </si>
  <si>
    <t>Rinkel</t>
  </si>
  <si>
    <t>Martin Tyman</t>
  </si>
  <si>
    <t>mtyman@automationig.com</t>
  </si>
  <si>
    <t>Tyman</t>
  </si>
  <si>
    <t>Edgewell Personal Care Knoxville, TN</t>
  </si>
  <si>
    <t>+1 865-540-1286</t>
  </si>
  <si>
    <t>Edward</t>
  </si>
  <si>
    <t>McDonald</t>
  </si>
  <si>
    <t>+1 865-673-4547</t>
  </si>
  <si>
    <t>+1 865-236-4884</t>
  </si>
  <si>
    <t>Vi-Jon Vijon</t>
  </si>
  <si>
    <t>wdobbs@vijon.com</t>
  </si>
  <si>
    <t>Wallace</t>
  </si>
  <si>
    <t>Dobbs</t>
  </si>
  <si>
    <t>Jason Gann</t>
  </si>
  <si>
    <t>jgann@vijon.com</t>
  </si>
  <si>
    <t>+1 615-900-5710</t>
  </si>
  <si>
    <t>Gann</t>
  </si>
  <si>
    <t>+1 615-459-8900 ext EXT5115</t>
  </si>
  <si>
    <t>Michael Sellers</t>
  </si>
  <si>
    <t>msellers2@vijon.com</t>
  </si>
  <si>
    <t>Sellers</t>
  </si>
  <si>
    <t>Glenn Thompson</t>
  </si>
  <si>
    <t>gthompson@vijon.com</t>
  </si>
  <si>
    <t>+1 615-223-5208</t>
  </si>
  <si>
    <t>+1 423-639-7878</t>
  </si>
  <si>
    <t>Dustin Hicks</t>
  </si>
  <si>
    <t>Lubing Systems</t>
  </si>
  <si>
    <t>dustin.hicks@lubingusa.com</t>
  </si>
  <si>
    <t>Factory Automation Engineer</t>
  </si>
  <si>
    <t>Kaleb Langston</t>
  </si>
  <si>
    <t>kaleb.langston@lubingusa.com</t>
  </si>
  <si>
    <t>Kaleb</t>
  </si>
  <si>
    <t>Langston</t>
  </si>
  <si>
    <t>Brent Sentell</t>
  </si>
  <si>
    <t>brent.sentell@lubingusa.com</t>
  </si>
  <si>
    <t>+1 423-413-3644</t>
  </si>
  <si>
    <t>Technical Director</t>
  </si>
  <si>
    <t>Chuck Willis</t>
  </si>
  <si>
    <t>chuck.willis@lubingusa.com</t>
  </si>
  <si>
    <t>Willis</t>
  </si>
  <si>
    <t>Cornan</t>
  </si>
  <si>
    <t>Everette</t>
  </si>
  <si>
    <t>Stockholm</t>
  </si>
  <si>
    <t>+1 615-350-6787</t>
  </si>
  <si>
    <t>Wolfgang</t>
  </si>
  <si>
    <t>Priddy</t>
  </si>
  <si>
    <t>+1 423-337-3522</t>
  </si>
  <si>
    <t>Dale</t>
  </si>
  <si>
    <t>Cottingham</t>
  </si>
  <si>
    <t>+1 423-587-4910</t>
  </si>
  <si>
    <t>Daryle</t>
  </si>
  <si>
    <t>Rachel</t>
  </si>
  <si>
    <t>Pry</t>
  </si>
  <si>
    <t>ChemStation</t>
  </si>
  <si>
    <t>mwright@chemstation.com</t>
  </si>
  <si>
    <t>+1 615-255-2466</t>
  </si>
  <si>
    <t>JTEKT Morristown, TN</t>
  </si>
  <si>
    <t>Wendell</t>
  </si>
  <si>
    <t>Faulkner</t>
  </si>
  <si>
    <t>+1 423-585-0999</t>
  </si>
  <si>
    <t>Anthony</t>
  </si>
  <si>
    <t>Forster</t>
  </si>
  <si>
    <t>Raby</t>
  </si>
  <si>
    <t>Wolfe</t>
  </si>
  <si>
    <t>Charbonnet</t>
  </si>
  <si>
    <t>+1 931-839-5000</t>
  </si>
  <si>
    <t>Cierra</t>
  </si>
  <si>
    <t>Dan Barber</t>
  </si>
  <si>
    <t>AUTOMATION NTH</t>
  </si>
  <si>
    <t>dan.barber@automationnth.com</t>
  </si>
  <si>
    <t>+1 615-293-8914</t>
  </si>
  <si>
    <t>Barber</t>
  </si>
  <si>
    <t>Director of West coast Operations</t>
  </si>
  <si>
    <t>+1 615-793-7704</t>
  </si>
  <si>
    <t>Jeff Buck</t>
  </si>
  <si>
    <t>jeff.buck@automationnth.com</t>
  </si>
  <si>
    <t>+1 615-525-5332</t>
  </si>
  <si>
    <t>VP of Engineering</t>
  </si>
  <si>
    <t>Steve Carrell</t>
  </si>
  <si>
    <t>steve.carrell@automationnth.com</t>
  </si>
  <si>
    <t>Carrell</t>
  </si>
  <si>
    <t>Mike Coushman</t>
  </si>
  <si>
    <t>coushmanmichael@contractor.bfusa.co</t>
  </si>
  <si>
    <t>+1 615-423-2460</t>
  </si>
  <si>
    <t>Coushman</t>
  </si>
  <si>
    <t>shane.cox@automationnth.com</t>
  </si>
  <si>
    <t>Dave Enoch</t>
  </si>
  <si>
    <t>david.enoch@automationnth.com</t>
  </si>
  <si>
    <t>Enoch</t>
  </si>
  <si>
    <t>Mark Ferguson</t>
  </si>
  <si>
    <t>mferguson@meiko.us</t>
  </si>
  <si>
    <t>Ferguson</t>
  </si>
  <si>
    <t>+1 615-399-6600</t>
  </si>
  <si>
    <t>Mark Goslin</t>
  </si>
  <si>
    <t>mark.goslin@automationnth.com</t>
  </si>
  <si>
    <t>+1 615-804-8354</t>
  </si>
  <si>
    <t>Goslin</t>
  </si>
  <si>
    <t>Deb Halliwell</t>
  </si>
  <si>
    <t>deborah.halliwell@automationnth.com</t>
  </si>
  <si>
    <t>Deb</t>
  </si>
  <si>
    <t>Halliwell</t>
  </si>
  <si>
    <t>+1 615-697-0004</t>
  </si>
  <si>
    <t>Justin Hudgens</t>
  </si>
  <si>
    <t>justin.hudgens@automationnth.com</t>
  </si>
  <si>
    <t>Hudgens</t>
  </si>
  <si>
    <t>Louisa Hunter</t>
  </si>
  <si>
    <t>louisa.hunter@automationnth.com</t>
  </si>
  <si>
    <t>Louisa</t>
  </si>
  <si>
    <t>Deb Johnson</t>
  </si>
  <si>
    <t>jjohnson@meiko.us</t>
  </si>
  <si>
    <t>Travis Martin</t>
  </si>
  <si>
    <t>travis.martin@automationth.com</t>
  </si>
  <si>
    <t>Travis</t>
  </si>
  <si>
    <t>Glenn Stribling</t>
  </si>
  <si>
    <t>glenn.stribling@automationnth.com</t>
  </si>
  <si>
    <t>Stribling</t>
  </si>
  <si>
    <t>jake.taylor@automationnth.com</t>
  </si>
  <si>
    <t>P. Brent Thomas</t>
  </si>
  <si>
    <t>brent.thomas@automationnth.com</t>
  </si>
  <si>
    <t>+1 615-275-9089</t>
  </si>
  <si>
    <t>P. Brent</t>
  </si>
  <si>
    <t>Jan Tower</t>
  </si>
  <si>
    <t>Jan</t>
  </si>
  <si>
    <t>Tower</t>
  </si>
  <si>
    <t>Matt Weaver</t>
  </si>
  <si>
    <t>matt.weaver@automationnth.com</t>
  </si>
  <si>
    <t>+1 615-542-1204</t>
  </si>
  <si>
    <t>Scott.Weeks@automationnth.com</t>
  </si>
  <si>
    <t>Weeks</t>
  </si>
  <si>
    <t>caleb.capps@jrautomation.com</t>
  </si>
  <si>
    <t>+1 574-440-2340</t>
  </si>
  <si>
    <t>Capps</t>
  </si>
  <si>
    <t>+1 615-218-9952</t>
  </si>
  <si>
    <t>+1 269-815-1365</t>
  </si>
  <si>
    <t>Feng</t>
  </si>
  <si>
    <t>+1 615-712-5043</t>
  </si>
  <si>
    <t>Hart</t>
  </si>
  <si>
    <t>+1 615-365-2723</t>
  </si>
  <si>
    <t>Kane</t>
  </si>
  <si>
    <t>Meyer</t>
  </si>
  <si>
    <t>Sean.Palka@jrautomation.com</t>
  </si>
  <si>
    <t>Palka</t>
  </si>
  <si>
    <t>+1 888-542-4111</t>
  </si>
  <si>
    <t>Pavlik</t>
  </si>
  <si>
    <t>Controls Design Engineer II</t>
  </si>
  <si>
    <t>+1 615-365-2714</t>
  </si>
  <si>
    <t>Preston</t>
  </si>
  <si>
    <t>Rahn</t>
  </si>
  <si>
    <t>+1 161-536-5272 ext 5</t>
  </si>
  <si>
    <t>Scarpelli</t>
  </si>
  <si>
    <t>Schmidke</t>
  </si>
  <si>
    <t>D</t>
  </si>
  <si>
    <t>Selm…</t>
  </si>
  <si>
    <t>Sernett</t>
  </si>
  <si>
    <t>Sherwood</t>
  </si>
  <si>
    <t>Sirulnick</t>
  </si>
  <si>
    <t>Slow</t>
  </si>
  <si>
    <t>Surface</t>
  </si>
  <si>
    <t>Trebendis</t>
  </si>
  <si>
    <t>Kelvin</t>
  </si>
  <si>
    <t>Zahn</t>
  </si>
  <si>
    <t>Cognex Corporation</t>
  </si>
  <si>
    <t>Jesse</t>
  </si>
  <si>
    <t>Toland</t>
  </si>
  <si>
    <t>+1 615-712-3708</t>
  </si>
  <si>
    <t>Stone Mountain Technologies Inc</t>
  </si>
  <si>
    <t>+1 423-735-7400</t>
  </si>
  <si>
    <t>Hitchcock</t>
  </si>
  <si>
    <t>Kaczmarek</t>
  </si>
  <si>
    <t>Monk</t>
  </si>
  <si>
    <t>Hardware Engineering</t>
  </si>
  <si>
    <t>Cross Company Process Solutions Group</t>
  </si>
  <si>
    <t>jim.bowser@crossco.com</t>
  </si>
  <si>
    <t>Bowser</t>
  </si>
  <si>
    <t>+1 704-755-1053</t>
  </si>
  <si>
    <t>scott.fesler@crossco.com</t>
  </si>
  <si>
    <t>Fesler</t>
  </si>
  <si>
    <t>Director of Operations - Process Solutio</t>
  </si>
  <si>
    <t>john.laurens@crossco.com</t>
  </si>
  <si>
    <t>Laurens</t>
  </si>
  <si>
    <t>Jay Theisen</t>
  </si>
  <si>
    <t>Theisen</t>
  </si>
  <si>
    <t>+1 704-755-1053 ext 5034</t>
  </si>
  <si>
    <t>Devan Martin</t>
  </si>
  <si>
    <t>Spring Automation</t>
  </si>
  <si>
    <t>Devan.Page@springautomation.com</t>
  </si>
  <si>
    <t>+1 215-317-8286</t>
  </si>
  <si>
    <t>Devan</t>
  </si>
  <si>
    <t>Project Administrator</t>
  </si>
  <si>
    <t>+1 615-472-9454</t>
  </si>
  <si>
    <t>Damon Morgan</t>
  </si>
  <si>
    <t>dmorgan@masseyelectric.com</t>
  </si>
  <si>
    <t>Damon</t>
  </si>
  <si>
    <t>Scott Norman</t>
  </si>
  <si>
    <t>snorman@masseyelectric.com</t>
  </si>
  <si>
    <t>+1 865-573-4200</t>
  </si>
  <si>
    <t>Matt Valentine</t>
  </si>
  <si>
    <t>mvalentine@masseyelectric.com</t>
  </si>
  <si>
    <t>Valentine</t>
  </si>
  <si>
    <t>tim.cochran@wrightind.com</t>
  </si>
  <si>
    <t>+1 615-361-4111</t>
  </si>
  <si>
    <t>devind@qmsionline.com</t>
  </si>
  <si>
    <t>Devin</t>
  </si>
  <si>
    <t>Doty</t>
  </si>
  <si>
    <t>+1 615-793-2235</t>
  </si>
  <si>
    <t>Matt Price</t>
  </si>
  <si>
    <t>Guy Buckner</t>
  </si>
  <si>
    <t>gbuckner@tritium.com.au</t>
  </si>
  <si>
    <t>Guy</t>
  </si>
  <si>
    <t>Buckner</t>
  </si>
  <si>
    <t>TN - Boardroom conf room</t>
  </si>
  <si>
    <t>tn-boardroom@tritium.com.au</t>
  </si>
  <si>
    <t>TN - Boardroom</t>
  </si>
  <si>
    <t>conf room</t>
  </si>
  <si>
    <t>TN - Training Room conference room (group email)</t>
  </si>
  <si>
    <t>tn-trainingrm@tritium.com.au</t>
  </si>
  <si>
    <t>TN - Training Room</t>
  </si>
  <si>
    <t>conference room (group email)</t>
  </si>
  <si>
    <t>Jim Glanz</t>
  </si>
  <si>
    <t>jglanz@tritium.com.au</t>
  </si>
  <si>
    <t>Glanz</t>
  </si>
  <si>
    <t>"End of line"</t>
  </si>
  <si>
    <t>Ashley Hall</t>
  </si>
  <si>
    <t>ahall@tritium.com.au</t>
  </si>
  <si>
    <t>Michael Hinricher</t>
  </si>
  <si>
    <t>mhinricher@tritium.com.au</t>
  </si>
  <si>
    <t>Hinricher</t>
  </si>
  <si>
    <t>Global Electronic Category Manager</t>
  </si>
  <si>
    <t>Trevor O'neal</t>
  </si>
  <si>
    <t>toneal@tritium.com.au</t>
  </si>
  <si>
    <t>O'neal</t>
  </si>
  <si>
    <t>David Oglesby</t>
  </si>
  <si>
    <t>doglesby@tritium.com.au</t>
  </si>
  <si>
    <t>Oglesby</t>
  </si>
  <si>
    <t>Travis Proctor</t>
  </si>
  <si>
    <t>tproctor@tritium.com.au</t>
  </si>
  <si>
    <t>Proctor</t>
  </si>
  <si>
    <t>Patricia Rogers</t>
  </si>
  <si>
    <t>progers@tritium.com.au</t>
  </si>
  <si>
    <t>Patricia</t>
  </si>
  <si>
    <t>Rogers</t>
  </si>
  <si>
    <t>Sr Buyer</t>
  </si>
  <si>
    <t>Todd Schnagel</t>
  </si>
  <si>
    <t>tschnagel@tritium.com.au</t>
  </si>
  <si>
    <t>Schnagel</t>
  </si>
  <si>
    <t>Seth Singleton</t>
  </si>
  <si>
    <t>ssingleton@tritium.com.au</t>
  </si>
  <si>
    <t>Accounts Payable Officer</t>
  </si>
  <si>
    <t>+1 731-478-500</t>
  </si>
  <si>
    <t>Everything Engineer from Australia</t>
  </si>
  <si>
    <t>Jim Stephens</t>
  </si>
  <si>
    <t>tstephens@tritium.com.au</t>
  </si>
  <si>
    <t>Stephens</t>
  </si>
  <si>
    <t>Eng Mgr</t>
  </si>
  <si>
    <t>gsun@tritium.com.au</t>
  </si>
  <si>
    <t>Sun</t>
  </si>
  <si>
    <t>Australian based</t>
  </si>
  <si>
    <t>Jeremy Wolfe</t>
  </si>
  <si>
    <t>jewolfe@tritium.com.au</t>
  </si>
  <si>
    <t>Tuftco</t>
  </si>
  <si>
    <t>Dillson</t>
  </si>
  <si>
    <t>+1 423-698-8601</t>
  </si>
  <si>
    <t>Isaac</t>
  </si>
  <si>
    <t>York</t>
  </si>
  <si>
    <t>Noel Murphy</t>
  </si>
  <si>
    <t>Crescent Electric Madison, TN</t>
  </si>
  <si>
    <t>noel.murphyjr@cesco.com</t>
  </si>
  <si>
    <t>Noel</t>
  </si>
  <si>
    <t>Murphy</t>
  </si>
  <si>
    <t>+1 615-227-8687</t>
  </si>
  <si>
    <t>Laura.Nolen@cesco.com</t>
  </si>
  <si>
    <t>+1 615-571-1124</t>
  </si>
  <si>
    <t>Nolen</t>
  </si>
  <si>
    <t>Account Manager</t>
  </si>
  <si>
    <t>Chris Ruffino</t>
  </si>
  <si>
    <t>Chris.Ruffino@cesco.com</t>
  </si>
  <si>
    <t>Ruffino</t>
  </si>
  <si>
    <t>SET Automation Southeastern Technology Automation</t>
  </si>
  <si>
    <t>Controls Engineer I</t>
  </si>
  <si>
    <t>+1 615-410-3806</t>
  </si>
  <si>
    <t>Controls Engineer II</t>
  </si>
  <si>
    <t>General Manager</t>
  </si>
  <si>
    <t>+1 615-496-7028</t>
  </si>
  <si>
    <t>Chuck Chiofolo</t>
  </si>
  <si>
    <t>Chairmans Foods LLC</t>
  </si>
  <si>
    <t>cchiofolo@chairmansfoods.com</t>
  </si>
  <si>
    <t>Chiofolo</t>
  </si>
  <si>
    <t>+1 615-231-4315</t>
  </si>
  <si>
    <t>Kelly Finch</t>
  </si>
  <si>
    <t>Kyzen Corp Nashville, TN</t>
  </si>
  <si>
    <t>kelly_finch@kyzen.com</t>
  </si>
  <si>
    <t>Finch</t>
  </si>
  <si>
    <t>+1 615-831-0888</t>
  </si>
  <si>
    <t>John Garvin</t>
  </si>
  <si>
    <t>john_garvin@kyzen.com</t>
  </si>
  <si>
    <t>Garvin</t>
  </si>
  <si>
    <t>bobby_glidwell@kyzen.com</t>
  </si>
  <si>
    <t>Glidwell</t>
  </si>
  <si>
    <t>alan_mccready@kyzen.com</t>
  </si>
  <si>
    <t>McCready</t>
  </si>
  <si>
    <t>Matt_Owens@kyzen.com</t>
  </si>
  <si>
    <t>Owens</t>
  </si>
  <si>
    <t>Will Sweet</t>
  </si>
  <si>
    <t>will_sweet@kyzen.com</t>
  </si>
  <si>
    <t>Sweet</t>
  </si>
  <si>
    <t>Ram Wissel</t>
  </si>
  <si>
    <t>ram_wissel@kyzen.com</t>
  </si>
  <si>
    <t>Ram</t>
  </si>
  <si>
    <t>Wissel</t>
  </si>
  <si>
    <t>Technology Manager</t>
  </si>
  <si>
    <t>Mesa Associates, Inc. - Machine Gro</t>
  </si>
  <si>
    <t>+1 865-218-5226</t>
  </si>
  <si>
    <t>Denton</t>
  </si>
  <si>
    <t>+1 865-218-5272</t>
  </si>
  <si>
    <t>Noland</t>
  </si>
  <si>
    <t>Narciso</t>
  </si>
  <si>
    <t>Sanchez</t>
  </si>
  <si>
    <t>Electrical Assembly Supervisor</t>
  </si>
  <si>
    <t>tyler.cooper@heiberger-solutions.com</t>
  </si>
  <si>
    <t>+1 423-681-1414</t>
  </si>
  <si>
    <t>Christian Heiberger</t>
  </si>
  <si>
    <t>christian.heiberger@heiberger-solutions.com</t>
  </si>
  <si>
    <t>+1 559-309-9611</t>
  </si>
  <si>
    <t>Christian</t>
  </si>
  <si>
    <t>Heiberger</t>
  </si>
  <si>
    <t>Head of Engineering</t>
  </si>
  <si>
    <t>Mid-South Automation</t>
  </si>
  <si>
    <t>+1 931-526-6742 ext EXT 235</t>
  </si>
  <si>
    <t>Scottie Dunn</t>
  </si>
  <si>
    <t>scottie.dunn@yahoo.com</t>
  </si>
  <si>
    <t>Scottie</t>
  </si>
  <si>
    <t>Dunn</t>
  </si>
  <si>
    <t>engineer</t>
  </si>
  <si>
    <t>Felix</t>
  </si>
  <si>
    <t>rfrewin@msautomation.com</t>
  </si>
  <si>
    <t>Frewin</t>
  </si>
  <si>
    <t>Michael Garrett</t>
  </si>
  <si>
    <t>Charlie Tallent</t>
  </si>
  <si>
    <t>Charlie</t>
  </si>
  <si>
    <t>Tallent</t>
  </si>
  <si>
    <t>Tom Williams</t>
  </si>
  <si>
    <t>tom.d.williams.1970@gmail.com</t>
  </si>
  <si>
    <t>Tech Shop Soddy Daisy</t>
  </si>
  <si>
    <t>Mitch</t>
  </si>
  <si>
    <t>+1 423-842-9969</t>
  </si>
  <si>
    <t>+1 865-339-4956</t>
  </si>
  <si>
    <t>+1 865-588-7691</t>
  </si>
  <si>
    <t>+1 865-246-6177</t>
  </si>
  <si>
    <t>Paul Bowen</t>
  </si>
  <si>
    <t>pbowen@bertelkamp.com</t>
  </si>
  <si>
    <t>+1 704-572-5924</t>
  </si>
  <si>
    <t>Bowen</t>
  </si>
  <si>
    <t>Outside Sales - Charlotte</t>
  </si>
  <si>
    <t>Lyn Burkhalter</t>
  </si>
  <si>
    <t>lburkhalter@bertelkamp.com</t>
  </si>
  <si>
    <t>Lyn</t>
  </si>
  <si>
    <t>Burkhalter</t>
  </si>
  <si>
    <t>+1 704-989-1219</t>
  </si>
  <si>
    <t>+1 864-525-7056</t>
  </si>
  <si>
    <t>+1 678-313-5181</t>
  </si>
  <si>
    <t>sales development manager</t>
  </si>
  <si>
    <t>Laney Faust</t>
  </si>
  <si>
    <t>lfaust@bertelkamp.com</t>
  </si>
  <si>
    <t>Laney</t>
  </si>
  <si>
    <t>+1 865-246-6116</t>
  </si>
  <si>
    <t>+1 865-567-2493</t>
  </si>
  <si>
    <t>+1 865-246-6176</t>
  </si>
  <si>
    <t>Bobby Graham</t>
  </si>
  <si>
    <t>rgraham@bertelkamp.com</t>
  </si>
  <si>
    <t>Graham</t>
  </si>
  <si>
    <t>Internal System Specialist</t>
  </si>
  <si>
    <t>+1 865-558-7691</t>
  </si>
  <si>
    <t>+1 803-530-8667</t>
  </si>
  <si>
    <t>Scott Legg</t>
  </si>
  <si>
    <t>slegg@bertelkamp.com</t>
  </si>
  <si>
    <t>+1 864-419-7333</t>
  </si>
  <si>
    <t>Territory Manager</t>
  </si>
  <si>
    <t>+1 864-234-7206</t>
  </si>
  <si>
    <t>+1 704-651-5600</t>
  </si>
  <si>
    <t>+1 865-712-0488</t>
  </si>
  <si>
    <t>East TN</t>
  </si>
  <si>
    <t>Nate Reid</t>
  </si>
  <si>
    <t>nreid@bertelkamp.com</t>
  </si>
  <si>
    <t>+1 865-406-9168</t>
  </si>
  <si>
    <t>Reid</t>
  </si>
  <si>
    <t>Outside Sales</t>
  </si>
  <si>
    <t>Knoxville - Cookeville Account Manager</t>
  </si>
  <si>
    <t>+1 423-773-5421</t>
  </si>
  <si>
    <t>+1 865-617-9184</t>
  </si>
  <si>
    <t>engineering</t>
  </si>
  <si>
    <t>+1 865-588-7691 ext 6199</t>
  </si>
  <si>
    <t>+1 919-868-0376</t>
  </si>
  <si>
    <t>+1 919-649-6737</t>
  </si>
  <si>
    <t>+1 865-556-2497</t>
  </si>
  <si>
    <t>Project Enginerring</t>
  </si>
  <si>
    <t>+1 865-588-7691 ext 6178</t>
  </si>
  <si>
    <t>Zac Wesner</t>
  </si>
  <si>
    <t>zwesner@bertelkamp.com</t>
  </si>
  <si>
    <t>Wesner</t>
  </si>
  <si>
    <t>Kimberly Wheeler</t>
  </si>
  <si>
    <t>Kwheeler@bertelkamp.com</t>
  </si>
  <si>
    <t>Kimberly</t>
  </si>
  <si>
    <t>+1 336-314-4350</t>
  </si>
  <si>
    <t>Oliver Deocampo</t>
  </si>
  <si>
    <t>SOUTHERN TECHNOLOGIES</t>
  </si>
  <si>
    <t>oliver@southern-tech.com</t>
  </si>
  <si>
    <t>Oliver</t>
  </si>
  <si>
    <t>Deocampo</t>
  </si>
  <si>
    <t>+1 423-892-3029</t>
  </si>
  <si>
    <t>Paul Mench</t>
  </si>
  <si>
    <t>paul@southern-tech.com</t>
  </si>
  <si>
    <t>Mench</t>
  </si>
  <si>
    <t>rmorrison@southern-tech.com</t>
  </si>
  <si>
    <t>+1 423-602-9778</t>
  </si>
  <si>
    <t>Morrison</t>
  </si>
  <si>
    <t>Bobby Walls</t>
  </si>
  <si>
    <t>bwalls@southern-Tech.com</t>
  </si>
  <si>
    <t>Walls</t>
  </si>
  <si>
    <t>KEY ACCOUNT REP</t>
  </si>
  <si>
    <t>+1 423-593-0292</t>
  </si>
  <si>
    <t>Bob Watson</t>
  </si>
  <si>
    <t>BOB@southern-tech.com</t>
  </si>
  <si>
    <t>Paul Younger</t>
  </si>
  <si>
    <t>paulyounger@epbfi.com</t>
  </si>
  <si>
    <t>Younger</t>
  </si>
  <si>
    <t>+1 402-637-3233</t>
  </si>
  <si>
    <t>ICSI Integrated Control Systems Inc.</t>
  </si>
  <si>
    <t>+1 615-793-3220</t>
  </si>
  <si>
    <t>+1 615-850-6986</t>
  </si>
  <si>
    <t>+1 615-850-7187</t>
  </si>
  <si>
    <t>+1 615-856-1934</t>
  </si>
  <si>
    <t>+1 615-360-8382</t>
  </si>
  <si>
    <t>+1 615-653-3252</t>
  </si>
  <si>
    <t>Jr Systems Integrator</t>
  </si>
  <si>
    <t>WEGMANN Automotive USA Inc.</t>
  </si>
  <si>
    <t>Hatchel</t>
  </si>
  <si>
    <t>+1 615-893-0643</t>
  </si>
  <si>
    <t>Custom Control Solutions LLC</t>
  </si>
  <si>
    <t>richardsmith@ccs-tn.com</t>
  </si>
  <si>
    <t>+1 423-473-6010</t>
  </si>
  <si>
    <t>alan.neal@shoals.com</t>
  </si>
  <si>
    <t>Neal</t>
  </si>
  <si>
    <t>Overdorf</t>
  </si>
  <si>
    <t>Cory Jordan</t>
  </si>
  <si>
    <t>Wastequip</t>
  </si>
  <si>
    <t>cjordan@wastequip.com</t>
  </si>
  <si>
    <t>Mr</t>
  </si>
  <si>
    <t>Cory</t>
  </si>
  <si>
    <t>cory jordan</t>
  </si>
  <si>
    <t>Data Analyst</t>
  </si>
  <si>
    <t>Kick Off</t>
  </si>
  <si>
    <t>Ryan Brown</t>
  </si>
  <si>
    <t>Johnny Crowell</t>
  </si>
  <si>
    <t>Wayne Bledsoe</t>
  </si>
  <si>
    <t>Zeke French</t>
  </si>
  <si>
    <t>Dustin Collins</t>
  </si>
  <si>
    <t>Alan Penticuff</t>
  </si>
  <si>
    <t>Chris Klein</t>
  </si>
  <si>
    <t>Tyler Price</t>
  </si>
  <si>
    <t>Shane Tubbs</t>
  </si>
  <si>
    <t>First Visit + opp discovery</t>
  </si>
  <si>
    <t>Josh Johnson</t>
  </si>
  <si>
    <t>Siu Yan</t>
  </si>
  <si>
    <t>wayne.bledsoe@ellitek.com</t>
  </si>
  <si>
    <t>zeke.french@ellitek.com</t>
  </si>
  <si>
    <t>Chad Holland</t>
  </si>
  <si>
    <t>chad.holland@ellitek.com</t>
  </si>
  <si>
    <t>chris.klein@ellitek.com</t>
  </si>
  <si>
    <t>alan.penticuff@ellitek.com</t>
  </si>
  <si>
    <t>tyler.price@ellitek.com</t>
  </si>
  <si>
    <t>elliTek</t>
  </si>
  <si>
    <t>Beth Elliott</t>
  </si>
  <si>
    <t>beth.elliott@ellitek.com</t>
  </si>
  <si>
    <t>Mrs</t>
  </si>
  <si>
    <t>Kumi</t>
  </si>
  <si>
    <t>AGC Automotive</t>
  </si>
  <si>
    <t>dustin.colllins@ellitek.com</t>
  </si>
  <si>
    <t>Hayden Allen-Galusha</t>
  </si>
  <si>
    <t>hayden.allen-galusha@kumi-na.com</t>
  </si>
  <si>
    <t>Todd Champagne</t>
  </si>
  <si>
    <t>todd.champagne@kumi-na.com</t>
  </si>
  <si>
    <t>+1 205-217-0622</t>
  </si>
  <si>
    <t>josh.johnson@kumi-na.com</t>
  </si>
  <si>
    <t>shane.tubbs@kumi-na.com</t>
  </si>
  <si>
    <t>Gabe McCleave</t>
  </si>
  <si>
    <t>gabe.mccleave@us.agc.com</t>
  </si>
  <si>
    <t>siu.yan@us.agc.com</t>
  </si>
  <si>
    <t>Wesley Gifford</t>
  </si>
  <si>
    <t>wesley.gifford@altousa.com</t>
  </si>
  <si>
    <t>James Helms</t>
  </si>
  <si>
    <t>james.helms@altousa.com</t>
  </si>
  <si>
    <t>michael.black@trinovainc.com</t>
  </si>
  <si>
    <t>+1 205-410-0279</t>
  </si>
  <si>
    <t>Brad Farrow</t>
  </si>
  <si>
    <t>brad.farrow@trinovainc.com</t>
  </si>
  <si>
    <t>+1 850-381-6987</t>
  </si>
  <si>
    <t>Christian Harwood</t>
  </si>
  <si>
    <t>christian.harwood@trinovainc.com</t>
  </si>
  <si>
    <t>+1 251-591-2504</t>
  </si>
  <si>
    <t>Steven Isler</t>
  </si>
  <si>
    <t>steven.isler@trinovainc.com</t>
  </si>
  <si>
    <t>+1 251-421-0329</t>
  </si>
  <si>
    <t>Trinova</t>
  </si>
  <si>
    <t>Vulcan Aluminum</t>
  </si>
  <si>
    <t>Alic Bird</t>
  </si>
  <si>
    <t>Josh Cronin</t>
  </si>
  <si>
    <t>josh@ci-automation.com</t>
  </si>
  <si>
    <t>Logan Phelps</t>
  </si>
  <si>
    <t>logan.phelps@ci-automation.com</t>
  </si>
  <si>
    <t>Vitor Seiber</t>
  </si>
  <si>
    <t>joao.seiber@ci-automation.com</t>
  </si>
  <si>
    <t>CI-Automation</t>
  </si>
  <si>
    <t>Michael Black - Trinova</t>
  </si>
  <si>
    <t>First Visit</t>
  </si>
  <si>
    <t>John Brewer</t>
  </si>
  <si>
    <t>john.brewer@na.denso.com</t>
  </si>
  <si>
    <t>Evan Chow</t>
  </si>
  <si>
    <t>evan.chow@na.denso.com</t>
  </si>
  <si>
    <t>Sean George</t>
  </si>
  <si>
    <t>sean.george@na.denso.com</t>
  </si>
  <si>
    <t>steven.kyle.johnson@na.denso.com</t>
  </si>
  <si>
    <t>Mateus Trigo</t>
  </si>
  <si>
    <t>mateus.trigo@na.denso.com</t>
  </si>
  <si>
    <t>Kyle Johnson - Denso</t>
  </si>
  <si>
    <t>dtooley@nrtsorters.com</t>
  </si>
  <si>
    <t>Lunch &amp; HMI handoff</t>
  </si>
  <si>
    <t>john watson</t>
  </si>
  <si>
    <t>PCB Design</t>
  </si>
  <si>
    <t>Free Printer Handoff</t>
  </si>
  <si>
    <t>richard matthews</t>
  </si>
  <si>
    <t>TJS follow up</t>
  </si>
  <si>
    <t>luke mcculley</t>
  </si>
  <si>
    <t>EtherCAT I/O opportunity follow up and testing</t>
  </si>
  <si>
    <t>Wago Printer 210-808</t>
  </si>
  <si>
    <t>20250709</t>
  </si>
  <si>
    <t>20250714</t>
  </si>
  <si>
    <t>20250723</t>
  </si>
  <si>
    <t>20250724</t>
  </si>
  <si>
    <t>20250731</t>
  </si>
  <si>
    <t>20250725</t>
  </si>
  <si>
    <t>20250701</t>
  </si>
  <si>
    <t>20250703</t>
  </si>
  <si>
    <t>20250716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</si>
</sst>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11"/>
      <color theme="1"/>
      <name val="Arial"/>
      <family val="2"/>
    </font>
    <font>
      <b/>
      <sz val="11"/>
      <color theme="1"/>
      <name val="Calibri"/>
      <family val="2"/>
      <scheme val="minor"/>
    </font>
    <font>
      <sz val="8"/>
      <name val="Calibri"/>
      <family val="2"/>
      <scheme val="minor"/>
    </font>
    <font>
      <sz val="10"/>
      <color theme="1"/>
      <name val="Calibri"/>
      <family val="2"/>
      <scheme val="minor"/>
    </font>
    <font>
      <b/>
      <sz val="11"/>
      <color theme="1"/>
      <name val="Arial"/>
      <family val="2"/>
    </font>
    <font>
      <u/>
      <sz val="11"/>
      <color theme="10"/>
      <name val="Calibri"/>
      <family val="2"/>
      <scheme val="minor"/>
    </font>
  </fonts>
  <fills count="8">
    <fill>
      <patternFill patternType="none"/>
    </fill>
    <fill>
      <patternFill patternType="gray125"/>
    </fill>
    <fill>
      <patternFill patternType="solid">
        <fgColor theme="7" tint="0.79998168889431442"/>
        <bgColor indexed="64"/>
      </patternFill>
    </fill>
    <fill>
      <patternFill patternType="solid">
        <fgColor theme="4" tint="0.79998168889431442"/>
        <bgColor indexed="64"/>
      </patternFill>
    </fill>
    <fill>
      <patternFill patternType="solid">
        <fgColor theme="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1" fillId="0" borderId="0"/>
    <xf numFmtId="0" fontId="6" fillId="0" borderId="0" applyNumberFormat="0" applyFill="0" applyBorder="0" applyAlignment="0" applyProtection="0"/>
  </cellStyleXfs>
  <cellXfs count="18">
    <xf numFmtId="0" fontId="0" fillId="0" borderId="0" xfId="0"/>
    <xf numFmtId="0" fontId="2" fillId="0" borderId="0" xfId="0" applyFont="1"/>
    <xf numFmtId="49" fontId="0" fillId="0" borderId="0" xfId="0" applyNumberFormat="1"/>
    <xf numFmtId="0" fontId="2" fillId="2" borderId="1" xfId="0" applyFont="1" applyFill="1" applyBorder="1" applyAlignment="1">
      <alignment wrapText="1"/>
    </xf>
    <xf numFmtId="0" fontId="2" fillId="3" borderId="1" xfId="0" applyFont="1" applyFill="1" applyBorder="1" applyAlignment="1">
      <alignment vertical="center" wrapText="1"/>
    </xf>
    <xf numFmtId="0" fontId="0" fillId="4" borderId="1" xfId="0" applyFill="1" applyBorder="1"/>
    <xf numFmtId="49" fontId="0" fillId="5" borderId="1" xfId="0" applyNumberFormat="1" applyFill="1" applyBorder="1" applyProtection="1">
      <protection locked="0"/>
    </xf>
    <xf numFmtId="0" fontId="0" fillId="5" borderId="0" xfId="0" applyFill="1" applyProtection="1">
      <protection locked="0"/>
    </xf>
    <xf numFmtId="0" fontId="0" fillId="5" borderId="1" xfId="0" applyFill="1" applyBorder="1" applyProtection="1">
      <protection locked="0"/>
    </xf>
    <xf numFmtId="0" fontId="0" fillId="0" borderId="0" xfId="0" applyProtection="1">
      <protection locked="0"/>
    </xf>
    <xf numFmtId="0" fontId="5" fillId="6" borderId="1" xfId="1" applyFont="1" applyFill="1" applyBorder="1"/>
    <xf numFmtId="49" fontId="0" fillId="0" borderId="0" xfId="0" applyNumberFormat="1" applyProtection="1">
      <protection locked="0"/>
    </xf>
    <xf numFmtId="0" fontId="2" fillId="3" borderId="1" xfId="0" applyFont="1" applyFill="1" applyBorder="1" applyAlignment="1">
      <alignment vertical="center"/>
    </xf>
    <xf numFmtId="0" fontId="0" fillId="4" borderId="0" xfId="0" applyFill="1"/>
    <xf numFmtId="0" fontId="6" fillId="0" borderId="0" xfId="2"/>
    <xf numFmtId="0" fontId="0" fillId="7" borderId="0" xfId="0" applyFill="1"/>
    <xf numFmtId="0" fontId="6" fillId="0" borderId="0" xfId="2" applyFill="1" applyBorder="1"/>
    <xf numFmtId="0" fontId="0" fillId="5" borderId="1" xfId="0" applyFill="1" applyBorder="1" applyAlignment="1" applyProtection="1">
      <alignment wrapText="1"/>
      <protection locked="0"/>
    </xf>
  </cellXfs>
  <cellStyles count="3">
    <cellStyle name="Hyperlink" xfId="2" builtinId="8"/>
    <cellStyle name="Normal" xfId="0" builtinId="0"/>
    <cellStyle name="Normal_Sheet3" xfId="1" xr:uid="{6653E97F-A440-4A9B-9327-095BB21F5C2E}"/>
  </cellStyles>
  <dxfs count="1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3"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7</xdr:col>
      <xdr:colOff>514350</xdr:colOff>
      <xdr:row>0</xdr:row>
      <xdr:rowOff>19050</xdr:rowOff>
    </xdr:from>
    <xdr:to>
      <xdr:col>10</xdr:col>
      <xdr:colOff>215900</xdr:colOff>
      <xdr:row>0</xdr:row>
      <xdr:rowOff>508000</xdr:rowOff>
    </xdr:to>
    <xdr:sp macro="[0]!ClearCells" textlink="">
      <xdr:nvSpPr>
        <xdr:cNvPr id="2" name="Rectangle: Rounded Corners 1">
          <a:extLst>
            <a:ext uri="{FF2B5EF4-FFF2-40B4-BE49-F238E27FC236}">
              <a16:creationId xmlns:a16="http://schemas.microsoft.com/office/drawing/2014/main" id="{0E2F4C11-32FC-6477-7B2A-FD0F154DCEB8}"/>
            </a:ext>
          </a:extLst>
        </xdr:cNvPr>
        <xdr:cNvSpPr/>
      </xdr:nvSpPr>
      <xdr:spPr>
        <a:xfrm>
          <a:off x="14605000" y="19050"/>
          <a:ext cx="1530350" cy="488950"/>
        </a:xfrm>
        <a:prstGeom prst="round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t>Clear Sheet</a:t>
          </a:r>
          <a:endParaRPr lang="en-US" sz="1100" b="1"/>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hyperlink" Target="mailto:dustin.colllins@ellitek.com" TargetMode="External"/><Relationship Id="rId2" Type="http://schemas.openxmlformats.org/officeDocument/2006/relationships/hyperlink" Target="mailto:beth.elliott@ellitek.com" TargetMode="External"/><Relationship Id="rId1" Type="http://schemas.openxmlformats.org/officeDocument/2006/relationships/hyperlink" Target="mailto:cjordan@wastequip.com" TargetMode="External"/><Relationship Id="rId5" Type="http://schemas.openxmlformats.org/officeDocument/2006/relationships/printerSettings" Target="../printerSettings/printerSettings2.bin"/><Relationship Id="rId4" Type="http://schemas.openxmlformats.org/officeDocument/2006/relationships/hyperlink" Target="mailto:dtooley@nrtsorters.com" TargetMode="External"/></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3.bin"/><Relationship Id="rId3" Type="http://schemas.openxmlformats.org/officeDocument/2006/relationships/hyperlink" Target="mailto:jesse.toland@cognex.com" TargetMode="External"/><Relationship Id="rId7" Type="http://schemas.openxmlformats.org/officeDocument/2006/relationships/hyperlink" Target="mailto:psharp@astecindustries.com" TargetMode="External"/><Relationship Id="rId2" Type="http://schemas.openxmlformats.org/officeDocument/2006/relationships/hyperlink" Target="mailto:sean.palka@jrautomation.com" TargetMode="External"/><Relationship Id="rId1" Type="http://schemas.openxmlformats.org/officeDocument/2006/relationships/hyperlink" Target="mailto:nathan.copeland@goicsi.com" TargetMode="External"/><Relationship Id="rId6" Type="http://schemas.openxmlformats.org/officeDocument/2006/relationships/hyperlink" Target="mailto:j.haskin@pdmcorp.com" TargetMode="External"/><Relationship Id="rId5" Type="http://schemas.openxmlformats.org/officeDocument/2006/relationships/hyperlink" Target="mailto:tabitha.brown@assurant.com" TargetMode="External"/><Relationship Id="rId4" Type="http://schemas.openxmlformats.org/officeDocument/2006/relationships/hyperlink" Target="mailto:rjordan@masseyelectric.com" TargetMode="External"/></Relationships>
</file>

<file path=xl/worksheets/_rels/sheet5.xml.rels><?xml version="1.0" encoding="UTF-8" standalone="yes"?>
<Relationships xmlns="http://schemas.openxmlformats.org/package/2006/relationships"><Relationship Id="rId2" Type="http://schemas.openxmlformats.org/officeDocument/2006/relationships/hyperlink" Target="mailto:rjordan@masseyelectric.com" TargetMode="External"/><Relationship Id="rId1" Type="http://schemas.openxmlformats.org/officeDocument/2006/relationships/hyperlink" Target="mailto:jesse.toland@cognex.com"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434DA-46BC-4A2A-BC8A-AFE340E2B51D}">
  <sheetPr codeName="Sheet4"/>
  <dimension ref="A1:I1048512"/>
  <sheetViews>
    <sheetView tabSelected="1" zoomScaleNormal="100" workbookViewId="0">
      <pane ySplit="1" topLeftCell="A2" activePane="bottomLeft" state="frozen"/>
      <selection activeCell="C62" sqref="C62"/>
      <selection pane="bottomLeft" activeCell="F6" sqref="F6"/>
    </sheetView>
  </sheetViews>
  <sheetFormatPr defaultRowHeight="14.4" x14ac:dyDescent="0.3"/>
  <cols>
    <col min="1" max="1" width="13.44140625" customWidth="1"/>
    <col min="2" max="2" width="13.33203125" customWidth="1"/>
    <col min="3" max="3" width="23.33203125" style="7" customWidth="1"/>
    <col min="4" max="4" width="11.88671875" customWidth="1"/>
    <col min="5" max="5" width="28.88671875" style="9" customWidth="1"/>
    <col min="6" max="6" width="11.6640625" style="6" bestFit="1" customWidth="1"/>
    <col min="7" max="7" width="31.6640625" style="9" customWidth="1"/>
  </cols>
  <sheetData>
    <row r="1" spans="1:9" ht="42.6" x14ac:dyDescent="0.3">
      <c r="A1" s="3" t="s">
        <v>0</v>
      </c>
      <c r="B1" s="3" t="s">
        <v>1</v>
      </c>
      <c r="C1" s="3" t="s">
        <v>2</v>
      </c>
      <c r="D1" s="4" t="s">
        <v>3</v>
      </c>
      <c r="E1" s="4" t="s">
        <v>4</v>
      </c>
      <c r="F1" s="4" t="s">
        <v>5</v>
      </c>
      <c r="G1" s="12" t="s">
        <v>6</v>
      </c>
    </row>
    <row r="2" spans="1:9" x14ac:dyDescent="0.3">
      <c r="A2" s="5" t="str">
        <f>IF(ISBLANK(C2),"",VLOOKUP(C2,'Database - Contacts'!$A$2:$D$7708,2,FALSE))</f>
        <v>Wastequip</v>
      </c>
      <c r="B2" s="5">
        <f>IF(ISBLANK(C2),"",VLOOKUP(C2,'Database - Contacts'!$A$2:$D$7708,3,FALSE))</f>
        <v>120241978</v>
      </c>
      <c r="C2" s="6" t="s">
        <v>5423</v>
      </c>
      <c r="D2" s="5">
        <f>IF(ISBLANK(C2),"",VLOOKUP(C2,'Database - Contacts'!$A$2:$D$7708,4,FALSE))</f>
        <v>120241979</v>
      </c>
      <c r="E2" s="8" t="s">
        <v>5424</v>
      </c>
      <c r="F2" s="6" t="s">
        <v>5509</v>
      </c>
      <c r="G2" s="8"/>
      <c r="H2">
        <v>2025</v>
      </c>
      <c r="I2" t="str">
        <f>_xlfn.CONCAT(H2,F2)</f>
        <v>202520250709</v>
      </c>
    </row>
    <row r="3" spans="1:9" x14ac:dyDescent="0.3">
      <c r="A3" s="5" t="str">
        <f>IF(ISBLANK(C3),"",VLOOKUP(C3,'Database - Contacts'!$A$2:$D$7708,2,FALSE))</f>
        <v>elliTek</v>
      </c>
      <c r="B3" s="5">
        <f>IF(ISBLANK(C3),"",VLOOKUP(C3,'Database - Contacts'!$A$2:$D$7708,3,FALSE))</f>
        <v>120206934</v>
      </c>
      <c r="C3" s="6" t="s">
        <v>5428</v>
      </c>
      <c r="D3" s="5">
        <f>IF(ISBLANK(C3),"",VLOOKUP(C3,'Database - Contacts'!$A$2:$D$7708,4,FALSE))</f>
        <v>120242151</v>
      </c>
      <c r="E3" s="8" t="s">
        <v>5425</v>
      </c>
      <c r="F3" s="6" t="s">
        <v>5510</v>
      </c>
      <c r="G3" s="8"/>
      <c r="H3">
        <v>2025</v>
      </c>
      <c r="I3" t="str">
        <f t="shared" ref="I3:I66" si="0">_xlfn.CONCAT(H3,F3)</f>
        <v>202520250714</v>
      </c>
    </row>
    <row r="4" spans="1:9" x14ac:dyDescent="0.3">
      <c r="A4" s="5" t="str">
        <f>IF(ISBLANK(C4),"",VLOOKUP(C4,'Database - Contacts'!$A$2:$D$7708,2,FALSE))</f>
        <v>elliTek</v>
      </c>
      <c r="B4" s="5">
        <f>IF(ISBLANK(C4),"",VLOOKUP(C4,'Database - Contacts'!$A$2:$D$7708,3,FALSE))</f>
        <v>120206934</v>
      </c>
      <c r="C4" s="6" t="s">
        <v>5426</v>
      </c>
      <c r="D4" s="5">
        <f>IF(ISBLANK(C4),"",VLOOKUP(C4,'Database - Contacts'!$A$2:$D$7708,4,FALSE))</f>
        <v>120235031</v>
      </c>
      <c r="E4" s="8" t="s">
        <v>5425</v>
      </c>
      <c r="F4" s="6" t="s">
        <v>5510</v>
      </c>
      <c r="G4" s="8"/>
      <c r="H4">
        <v>2025</v>
      </c>
      <c r="I4" t="str">
        <f t="shared" si="0"/>
        <v>202520250714</v>
      </c>
    </row>
    <row r="5" spans="1:9" x14ac:dyDescent="0.3">
      <c r="A5" s="5" t="str">
        <f>IF(ISBLANK(C5),"",VLOOKUP(C5,'Database - Contacts'!$A$2:$D$7708,2,FALSE))</f>
        <v>elliTek</v>
      </c>
      <c r="B5" s="5">
        <f>IF(ISBLANK(C5),"",VLOOKUP(C5,'Database - Contacts'!$A$2:$D$7708,3,FALSE))</f>
        <v>120206934</v>
      </c>
      <c r="C5" s="6" t="s">
        <v>5427</v>
      </c>
      <c r="D5" s="5">
        <f>IF(ISBLANK(C5),"",VLOOKUP(C5,'Database - Contacts'!$A$2:$D$7708,4,FALSE))</f>
        <v>120235016</v>
      </c>
      <c r="E5" s="8" t="s">
        <v>5425</v>
      </c>
      <c r="F5" s="6" t="s">
        <v>5510</v>
      </c>
      <c r="G5" s="8"/>
      <c r="H5">
        <v>2025</v>
      </c>
      <c r="I5" t="str">
        <f t="shared" si="0"/>
        <v>202520250714</v>
      </c>
    </row>
    <row r="6" spans="1:9" x14ac:dyDescent="0.3">
      <c r="A6" s="5" t="str">
        <f>IF(ISBLANK(C6),"",VLOOKUP(C6,'Database - Contacts'!$A$2:$D$7708,2,FALSE))</f>
        <v>elliTek, Inc</v>
      </c>
      <c r="B6" s="5">
        <f>IF(ISBLANK(C6),"",VLOOKUP(C6,'Database - Contacts'!$A$2:$D$7708,3,FALSE))</f>
        <v>120206934</v>
      </c>
      <c r="C6" s="6" t="s">
        <v>4433</v>
      </c>
      <c r="D6" s="5">
        <f>IF(ISBLANK(C6),"",VLOOKUP(C6,'Database - Contacts'!$A$2:$D$7708,4,FALSE))</f>
        <v>120206935</v>
      </c>
      <c r="E6" s="8" t="s">
        <v>5425</v>
      </c>
      <c r="F6" s="6" t="s">
        <v>5510</v>
      </c>
      <c r="G6" s="8"/>
      <c r="H6">
        <v>2025</v>
      </c>
      <c r="I6" t="str">
        <f t="shared" si="0"/>
        <v>202520250714</v>
      </c>
    </row>
    <row r="7" spans="1:9" x14ac:dyDescent="0.3">
      <c r="A7" s="5" t="str">
        <f>IF(ISBLANK(C7),"",VLOOKUP(C7,'Database - Contacts'!$A$2:$D$7708,2,FALSE))</f>
        <v>elliTek, Inc</v>
      </c>
      <c r="B7" s="5">
        <f>IF(ISBLANK(C7),"",VLOOKUP(C7,'Database - Contacts'!$A$2:$D$7708,3,FALSE))</f>
        <v>120206934</v>
      </c>
      <c r="C7" s="6" t="s">
        <v>4438</v>
      </c>
      <c r="D7" s="5">
        <f>IF(ISBLANK(C7),"",VLOOKUP(C7,'Database - Contacts'!$A$2:$D$7708,4,FALSE))</f>
        <v>120206937</v>
      </c>
      <c r="E7" s="8" t="s">
        <v>5425</v>
      </c>
      <c r="F7" s="6" t="s">
        <v>5510</v>
      </c>
      <c r="G7" s="8"/>
      <c r="H7">
        <v>2025</v>
      </c>
      <c r="I7" t="str">
        <f t="shared" si="0"/>
        <v>202520250714</v>
      </c>
    </row>
    <row r="8" spans="1:9" x14ac:dyDescent="0.3">
      <c r="A8" s="5" t="str">
        <f>IF(ISBLANK(C8),"",VLOOKUP(C8,'Database - Contacts'!$A$2:$D$7708,2,FALSE))</f>
        <v>elliTek, Inc</v>
      </c>
      <c r="B8" s="5">
        <f>IF(ISBLANK(C8),"",VLOOKUP(C8,'Database - Contacts'!$A$2:$D$7708,3,FALSE))</f>
        <v>120206934</v>
      </c>
      <c r="C8" s="6" t="s">
        <v>4442</v>
      </c>
      <c r="D8" s="5">
        <f>IF(ISBLANK(C8),"",VLOOKUP(C8,'Database - Contacts'!$A$2:$D$7708,4,FALSE))</f>
        <v>120206936</v>
      </c>
      <c r="E8" s="8" t="s">
        <v>5425</v>
      </c>
      <c r="F8" s="6" t="s">
        <v>5510</v>
      </c>
      <c r="G8" s="8"/>
      <c r="H8">
        <v>2025</v>
      </c>
      <c r="I8" t="str">
        <f t="shared" si="0"/>
        <v>202520250714</v>
      </c>
    </row>
    <row r="9" spans="1:9" x14ac:dyDescent="0.3">
      <c r="A9" s="5" t="str">
        <f>IF(ISBLANK(C9),"",VLOOKUP(C9,'Database - Contacts'!$A$2:$D$7708,2,FALSE))</f>
        <v>elliTek</v>
      </c>
      <c r="B9" s="5">
        <f>IF(ISBLANK(C9),"",VLOOKUP(C9,'Database - Contacts'!$A$2:$D$7708,3,FALSE))</f>
        <v>120206934</v>
      </c>
      <c r="C9" s="6" t="s">
        <v>5429</v>
      </c>
      <c r="D9" s="5">
        <f>IF(ISBLANK(C9),"",VLOOKUP(C9,'Database - Contacts'!$A$2:$D$7708,4,FALSE))</f>
        <v>120242154</v>
      </c>
      <c r="E9" s="8" t="s">
        <v>5425</v>
      </c>
      <c r="F9" s="6" t="s">
        <v>5510</v>
      </c>
      <c r="G9" s="8"/>
      <c r="H9">
        <v>2025</v>
      </c>
      <c r="I9" t="str">
        <f t="shared" si="0"/>
        <v>202520250714</v>
      </c>
    </row>
    <row r="10" spans="1:9" x14ac:dyDescent="0.3">
      <c r="A10" s="5" t="str">
        <f>IF(ISBLANK(C10),"",VLOOKUP(C10,'Database - Contacts'!$A$2:$D$7708,2,FALSE))</f>
        <v>elliTek</v>
      </c>
      <c r="B10" s="5">
        <f>IF(ISBLANK(C10),"",VLOOKUP(C10,'Database - Contacts'!$A$2:$D$7708,3,FALSE))</f>
        <v>120206934</v>
      </c>
      <c r="C10" s="6" t="s">
        <v>5440</v>
      </c>
      <c r="D10" s="5">
        <f>IF(ISBLANK(C10),"",VLOOKUP(C10,'Database - Contacts'!$A$2:$D$7708,4,FALSE))</f>
        <v>120242155</v>
      </c>
      <c r="E10" s="8" t="s">
        <v>5425</v>
      </c>
      <c r="F10" s="6" t="s">
        <v>5510</v>
      </c>
      <c r="G10" s="8"/>
      <c r="H10">
        <v>2025</v>
      </c>
      <c r="I10" t="str">
        <f t="shared" si="0"/>
        <v>202520250714</v>
      </c>
    </row>
    <row r="11" spans="1:9" x14ac:dyDescent="0.3">
      <c r="A11" s="5" t="str">
        <f>IF(ISBLANK(C11),"",VLOOKUP(C11,'Database - Contacts'!$A$2:$D$7708,2,FALSE))</f>
        <v>elliTek</v>
      </c>
      <c r="B11" s="5">
        <f>IF(ISBLANK(C11),"",VLOOKUP(C11,'Database - Contacts'!$A$2:$D$7708,3,FALSE))</f>
        <v>120206934</v>
      </c>
      <c r="C11" s="6" t="s">
        <v>5432</v>
      </c>
      <c r="D11" s="5">
        <f>IF(ISBLANK(C11),"",VLOOKUP(C11,'Database - Contacts'!$A$2:$D$7708,4,FALSE))</f>
        <v>120242153</v>
      </c>
      <c r="E11" s="8" t="s">
        <v>5425</v>
      </c>
      <c r="F11" s="6" t="s">
        <v>5510</v>
      </c>
      <c r="G11" s="8"/>
      <c r="H11">
        <v>2025</v>
      </c>
      <c r="I11" t="str">
        <f t="shared" si="0"/>
        <v>202520250714</v>
      </c>
    </row>
    <row r="12" spans="1:9" x14ac:dyDescent="0.3">
      <c r="A12" s="5" t="str">
        <f>IF(ISBLANK(C12),"",VLOOKUP(C12,'Database - Contacts'!$A$2:$D$7708,2,FALSE))</f>
        <v>elliTek</v>
      </c>
      <c r="B12" s="5">
        <f>IF(ISBLANK(C12),"",VLOOKUP(C12,'Database - Contacts'!$A$2:$D$7708,3,FALSE))</f>
        <v>120206934</v>
      </c>
      <c r="C12" s="6" t="s">
        <v>5431</v>
      </c>
      <c r="D12" s="5">
        <f>IF(ISBLANK(C12),"",VLOOKUP(C12,'Database - Contacts'!$A$2:$D$7708,4,FALSE))</f>
        <v>120242152</v>
      </c>
      <c r="E12" s="8" t="s">
        <v>5425</v>
      </c>
      <c r="F12" s="6" t="s">
        <v>5510</v>
      </c>
      <c r="G12" s="8"/>
      <c r="H12">
        <v>2025</v>
      </c>
      <c r="I12" t="str">
        <f t="shared" si="0"/>
        <v>202520250714</v>
      </c>
    </row>
    <row r="13" spans="1:9" x14ac:dyDescent="0.3">
      <c r="A13" s="5" t="str">
        <f>IF(ISBLANK(C13),"",VLOOKUP(C13,'Database - Contacts'!$A$2:$D$7708,2,FALSE))</f>
        <v>elliTek</v>
      </c>
      <c r="B13" s="5">
        <f>IF(ISBLANK(C13),"",VLOOKUP(C13,'Database - Contacts'!$A$2:$D$7708,3,FALSE))</f>
        <v>120206934</v>
      </c>
      <c r="C13" s="6" t="s">
        <v>5433</v>
      </c>
      <c r="D13" s="5">
        <f>IF(ISBLANK(C13),"",VLOOKUP(C13,'Database - Contacts'!$A$2:$D$7708,4,FALSE))</f>
        <v>120242150</v>
      </c>
      <c r="E13" s="8" t="s">
        <v>5425</v>
      </c>
      <c r="F13" s="6" t="s">
        <v>5510</v>
      </c>
      <c r="G13" s="8"/>
      <c r="H13">
        <v>2025</v>
      </c>
      <c r="I13" t="str">
        <f t="shared" si="0"/>
        <v>202520250714</v>
      </c>
    </row>
    <row r="14" spans="1:9" x14ac:dyDescent="0.3">
      <c r="A14" s="5" t="str">
        <f>IF(ISBLANK(C14),"",VLOOKUP(C14,'Database - Contacts'!$A$2:$D$7708,2,FALSE))</f>
        <v>elliTek</v>
      </c>
      <c r="B14" s="5">
        <f>IF(ISBLANK(C14),"",VLOOKUP(C14,'Database - Contacts'!$A$2:$D$7708,3,FALSE))</f>
        <v>120206934</v>
      </c>
      <c r="C14" s="6" t="s">
        <v>5446</v>
      </c>
      <c r="D14" s="5">
        <f>IF(ISBLANK(C14),"",VLOOKUP(C14,'Database - Contacts'!$A$2:$D$7708,4,FALSE))</f>
        <v>120242158</v>
      </c>
      <c r="E14" s="8" t="s">
        <v>5425</v>
      </c>
      <c r="F14" s="6" t="s">
        <v>5510</v>
      </c>
      <c r="G14" s="8"/>
      <c r="H14">
        <v>2025</v>
      </c>
      <c r="I14" t="str">
        <f t="shared" si="0"/>
        <v>202520250714</v>
      </c>
    </row>
    <row r="15" spans="1:9" x14ac:dyDescent="0.3">
      <c r="A15" s="5" t="str">
        <f>IF(ISBLANK(C15),"",VLOOKUP(C15,'Database - Contacts'!$A$2:$D$7708,2,FALSE))</f>
        <v>elliTek</v>
      </c>
      <c r="B15" s="5">
        <f>IF(ISBLANK(C15),"",VLOOKUP(C15,'Database - Contacts'!$A$2:$D$7708,3,FALSE))</f>
        <v>120206934</v>
      </c>
      <c r="C15" s="6" t="s">
        <v>5430</v>
      </c>
      <c r="D15" s="5">
        <f>IF(ISBLANK(C15),"",VLOOKUP(C15,'Database - Contacts'!$A$2:$D$7708,4,FALSE))</f>
        <v>120242159</v>
      </c>
      <c r="E15" s="8" t="s">
        <v>5425</v>
      </c>
      <c r="F15" s="6" t="s">
        <v>5510</v>
      </c>
      <c r="G15" s="8"/>
      <c r="H15">
        <v>2025</v>
      </c>
      <c r="I15" t="str">
        <f t="shared" si="0"/>
        <v>202520250714</v>
      </c>
    </row>
    <row r="16" spans="1:9" x14ac:dyDescent="0.3">
      <c r="A16" s="5" t="str">
        <f>IF(ISBLANK(C16),"",VLOOKUP(C16,'Database - Contacts'!$A$2:$D$7708,2,FALSE))</f>
        <v>Kumi</v>
      </c>
      <c r="B16" s="5">
        <f>IF(ISBLANK(C16),"",VLOOKUP(C16,'Database - Contacts'!$A$2:$D$7708,3,FALSE))</f>
        <v>514907</v>
      </c>
      <c r="C16" s="6" t="s">
        <v>5452</v>
      </c>
      <c r="D16" s="5">
        <f>IF(ISBLANK(C16),"",VLOOKUP(C16,'Database - Contacts'!$A$2:$D$7708,4,FALSE))</f>
        <v>100730624</v>
      </c>
      <c r="E16" s="8" t="s">
        <v>5435</v>
      </c>
      <c r="F16" s="6" t="s">
        <v>5511</v>
      </c>
      <c r="G16" s="8"/>
      <c r="H16">
        <v>2025</v>
      </c>
      <c r="I16" t="str">
        <f t="shared" si="0"/>
        <v>202520250723</v>
      </c>
    </row>
    <row r="17" spans="1:9" x14ac:dyDescent="0.3">
      <c r="A17" s="5" t="str">
        <f>IF(ISBLANK(C17),"",VLOOKUP(C17,'Database - Contacts'!$A$2:$D$7708,2,FALSE))</f>
        <v>Kumi</v>
      </c>
      <c r="B17" s="5">
        <f>IF(ISBLANK(C17),"",VLOOKUP(C17,'Database - Contacts'!$A$2:$D$7708,3,FALSE))</f>
        <v>514907</v>
      </c>
      <c r="C17" s="6" t="s">
        <v>5454</v>
      </c>
      <c r="D17" s="5">
        <f>IF(ISBLANK(C17),"",VLOOKUP(C17,'Database - Contacts'!$A$2:$D$7708,4,FALSE))</f>
        <v>100730623</v>
      </c>
      <c r="E17" s="8" t="s">
        <v>5435</v>
      </c>
      <c r="F17" s="6" t="s">
        <v>5511</v>
      </c>
      <c r="G17" s="8"/>
      <c r="H17">
        <v>2025</v>
      </c>
      <c r="I17" t="str">
        <f t="shared" si="0"/>
        <v>202520250723</v>
      </c>
    </row>
    <row r="18" spans="1:9" x14ac:dyDescent="0.3">
      <c r="A18" s="5" t="str">
        <f>IF(ISBLANK(C18),"",VLOOKUP(C18,'Database - Contacts'!$A$2:$D$7708,2,FALSE))</f>
        <v>Kumi</v>
      </c>
      <c r="B18" s="5">
        <f>IF(ISBLANK(C18),"",VLOOKUP(C18,'Database - Contacts'!$A$2:$D$7708,3,FALSE))</f>
        <v>514907</v>
      </c>
      <c r="C18" s="6" t="s">
        <v>5436</v>
      </c>
      <c r="D18" s="5">
        <f>IF(ISBLANK(C18),"",VLOOKUP(C18,'Database - Contacts'!$A$2:$D$7708,4,FALSE))</f>
        <v>120242157</v>
      </c>
      <c r="E18" s="8" t="s">
        <v>5435</v>
      </c>
      <c r="F18" s="6" t="s">
        <v>5511</v>
      </c>
      <c r="G18" s="8"/>
      <c r="H18">
        <v>2025</v>
      </c>
      <c r="I18" t="str">
        <f t="shared" si="0"/>
        <v>202520250723</v>
      </c>
    </row>
    <row r="19" spans="1:9" x14ac:dyDescent="0.3">
      <c r="A19" s="5" t="str">
        <f>IF(ISBLANK(C19),"",VLOOKUP(C19,'Database - Contacts'!$A$2:$D$7708,2,FALSE))</f>
        <v>Kumi</v>
      </c>
      <c r="B19" s="5">
        <f>IF(ISBLANK(C19),"",VLOOKUP(C19,'Database - Contacts'!$A$2:$D$7708,3,FALSE))</f>
        <v>514907</v>
      </c>
      <c r="C19" s="6" t="s">
        <v>5434</v>
      </c>
      <c r="D19" s="5">
        <f>IF(ISBLANK(C19),"",VLOOKUP(C19,'Database - Contacts'!$A$2:$D$7708,4,FALSE))</f>
        <v>120242156</v>
      </c>
      <c r="E19" s="8" t="s">
        <v>5435</v>
      </c>
      <c r="F19" s="6" t="s">
        <v>5511</v>
      </c>
      <c r="G19" s="8"/>
      <c r="H19">
        <v>2025</v>
      </c>
      <c r="I19" t="str">
        <f t="shared" si="0"/>
        <v>202520250723</v>
      </c>
    </row>
    <row r="20" spans="1:9" x14ac:dyDescent="0.3">
      <c r="A20" s="5" t="str">
        <f>IF(ISBLANK(C20),"",VLOOKUP(C20,'Database - Contacts'!$A$2:$D$7708,2,FALSE))</f>
        <v>AGC Automotive</v>
      </c>
      <c r="B20" s="5">
        <f>IF(ISBLANK(C20),"",VLOOKUP(C20,'Database - Contacts'!$A$2:$D$7708,3,FALSE))</f>
        <v>7408595</v>
      </c>
      <c r="C20" s="6" t="s">
        <v>5459</v>
      </c>
      <c r="D20" s="5">
        <f>IF(ISBLANK(C20),"",VLOOKUP(C20,'Database - Contacts'!$A$2:$D$7708,4,FALSE))</f>
        <v>100920340</v>
      </c>
      <c r="E20" s="8" t="s">
        <v>5435</v>
      </c>
      <c r="F20" s="6" t="s">
        <v>5511</v>
      </c>
      <c r="G20" s="8"/>
      <c r="H20">
        <v>2025</v>
      </c>
      <c r="I20" t="str">
        <f t="shared" si="0"/>
        <v>202520250723</v>
      </c>
    </row>
    <row r="21" spans="1:9" x14ac:dyDescent="0.3">
      <c r="A21" s="5" t="str">
        <f>IF(ISBLANK(C21),"",VLOOKUP(C21,'Database - Contacts'!$A$2:$D$7708,2,FALSE))</f>
        <v>AGC Automotive</v>
      </c>
      <c r="B21" s="5">
        <f>IF(ISBLANK(C21),"",VLOOKUP(C21,'Database - Contacts'!$A$2:$D$7708,3,FALSE))</f>
        <v>7408595</v>
      </c>
      <c r="C21" s="6" t="s">
        <v>5437</v>
      </c>
      <c r="D21" s="5">
        <f>IF(ISBLANK(C21),"",VLOOKUP(C21,'Database - Contacts'!$A$2:$D$7708,4,FALSE))</f>
        <v>100920339</v>
      </c>
      <c r="E21" s="8" t="s">
        <v>5435</v>
      </c>
      <c r="F21" s="6" t="s">
        <v>5511</v>
      </c>
      <c r="G21" s="8"/>
      <c r="H21">
        <v>2025</v>
      </c>
      <c r="I21" t="str">
        <f t="shared" si="0"/>
        <v>202520250723</v>
      </c>
    </row>
    <row r="22" spans="1:9" x14ac:dyDescent="0.3">
      <c r="A22" s="5" t="str">
        <f>IF(ISBLANK(C22),"",VLOOKUP(C22,'Database - Contacts'!$A$2:$D$7708,2,FALSE))</f>
        <v>Trinova</v>
      </c>
      <c r="B22" s="5">
        <f>IF(ISBLANK(C22),"",VLOOKUP(C22,'Database - Contacts'!$A$2:$D$7708,3,FALSE))</f>
        <v>120242160</v>
      </c>
      <c r="C22" s="6" t="s">
        <v>5462</v>
      </c>
      <c r="D22" s="5">
        <f>IF(ISBLANK(C22),"",VLOOKUP(C22,'Database - Contacts'!$A$2:$D$7708,4,FALSE))</f>
        <v>101136172</v>
      </c>
      <c r="E22" s="8" t="s">
        <v>5435</v>
      </c>
      <c r="F22" s="6" t="s">
        <v>5512</v>
      </c>
      <c r="G22" s="8"/>
      <c r="H22">
        <v>2025</v>
      </c>
      <c r="I22" t="str">
        <f t="shared" si="0"/>
        <v>202520250724</v>
      </c>
    </row>
    <row r="23" spans="1:9" x14ac:dyDescent="0.3">
      <c r="A23" s="5" t="str">
        <f>IF(ISBLANK(C23),"",VLOOKUP(C23,'Database - Contacts'!$A$2:$D$7708,2,FALSE))</f>
        <v>Trinova</v>
      </c>
      <c r="B23" s="5">
        <f>IF(ISBLANK(C23),"",VLOOKUP(C23,'Database - Contacts'!$A$2:$D$7708,3,FALSE))</f>
        <v>120242160</v>
      </c>
      <c r="C23" s="6" t="s">
        <v>5464</v>
      </c>
      <c r="D23" s="5">
        <f>IF(ISBLANK(C23),"",VLOOKUP(C23,'Database - Contacts'!$A$2:$D$7708,4,FALSE))</f>
        <v>100994333</v>
      </c>
      <c r="E23" s="8" t="s">
        <v>5435</v>
      </c>
      <c r="F23" s="6" t="s">
        <v>5512</v>
      </c>
      <c r="G23" s="8"/>
      <c r="H23">
        <v>2025</v>
      </c>
      <c r="I23" t="str">
        <f t="shared" si="0"/>
        <v>202520250724</v>
      </c>
    </row>
    <row r="24" spans="1:9" x14ac:dyDescent="0.3">
      <c r="A24" s="5" t="str">
        <f>IF(ISBLANK(C24),"",VLOOKUP(C24,'Database - Contacts'!$A$2:$D$7708,2,FALSE))</f>
        <v>Trinova</v>
      </c>
      <c r="B24" s="5">
        <f>IF(ISBLANK(C24),"",VLOOKUP(C24,'Database - Contacts'!$A$2:$D$7708,3,FALSE))</f>
        <v>120242160</v>
      </c>
      <c r="C24" s="6" t="s">
        <v>5468</v>
      </c>
      <c r="D24" s="5">
        <f>IF(ISBLANK(C24),"",VLOOKUP(C24,'Database - Contacts'!$A$2:$D$7708,4,FALSE))</f>
        <v>120242162</v>
      </c>
      <c r="E24" s="8" t="s">
        <v>5435</v>
      </c>
      <c r="F24" s="6" t="s">
        <v>5512</v>
      </c>
      <c r="G24" s="8"/>
      <c r="H24">
        <v>2025</v>
      </c>
      <c r="I24" t="str">
        <f t="shared" si="0"/>
        <v>202520250724</v>
      </c>
    </row>
    <row r="25" spans="1:9" x14ac:dyDescent="0.3">
      <c r="A25" s="5" t="str">
        <f>IF(ISBLANK(C25),"",VLOOKUP(C25,'Database - Contacts'!$A$2:$D$7708,2,FALSE))</f>
        <v>Trinova</v>
      </c>
      <c r="B25" s="5">
        <f>IF(ISBLANK(C25),"",VLOOKUP(C25,'Database - Contacts'!$A$2:$D$7708,3,FALSE))</f>
        <v>120242160</v>
      </c>
      <c r="C25" s="6" t="s">
        <v>5471</v>
      </c>
      <c r="D25" s="5">
        <f>IF(ISBLANK(C25),"",VLOOKUP(C25,'Database - Contacts'!$A$2:$D$7708,4,FALSE))</f>
        <v>120242161</v>
      </c>
      <c r="E25" s="8" t="s">
        <v>5435</v>
      </c>
      <c r="F25" s="6" t="s">
        <v>5512</v>
      </c>
      <c r="G25" s="8"/>
      <c r="H25">
        <v>2025</v>
      </c>
      <c r="I25" t="str">
        <f t="shared" si="0"/>
        <v>202520250724</v>
      </c>
    </row>
    <row r="26" spans="1:9" x14ac:dyDescent="0.3">
      <c r="A26" s="5" t="str">
        <f>IF(ISBLANK(C26),"",VLOOKUP(C26,'Database - Contacts'!$A$2:$D$7708,2,FALSE))</f>
        <v>Trinova</v>
      </c>
      <c r="B26" s="5">
        <f>IF(ISBLANK(C26),"",VLOOKUP(C26,'Database - Contacts'!$A$2:$D$7708,3,FALSE))</f>
        <v>120242160</v>
      </c>
      <c r="C26" s="6" t="s">
        <v>5474</v>
      </c>
      <c r="D26" s="5">
        <f>IF(ISBLANK(C26),"",VLOOKUP(C26,'Database - Contacts'!$A$2:$D$7708,4,FALSE))</f>
        <v>120242164</v>
      </c>
      <c r="E26" s="8" t="s">
        <v>5435</v>
      </c>
      <c r="F26" s="6" t="s">
        <v>5512</v>
      </c>
      <c r="G26" s="8"/>
      <c r="H26">
        <v>2025</v>
      </c>
      <c r="I26" t="str">
        <f t="shared" si="0"/>
        <v>202520250724</v>
      </c>
    </row>
    <row r="27" spans="1:9" x14ac:dyDescent="0.3">
      <c r="A27" s="5" t="str">
        <f>IF(ISBLANK(C27),"",VLOOKUP(C27,'Database - Contacts'!$A$2:$D$7708,2,FALSE))</f>
        <v>Trinova</v>
      </c>
      <c r="B27" s="5">
        <f>IF(ISBLANK(C27),"",VLOOKUP(C27,'Database - Contacts'!$A$2:$D$7708,3,FALSE))</f>
        <v>120242160</v>
      </c>
      <c r="C27" s="6" t="s">
        <v>5487</v>
      </c>
      <c r="D27" s="5">
        <f>IF(ISBLANK(C27),"",VLOOKUP(C27,'Database - Contacts'!$A$2:$D$7708,4,FALSE))</f>
        <v>120242163</v>
      </c>
      <c r="E27" s="8" t="s">
        <v>5435</v>
      </c>
      <c r="F27" s="6" t="s">
        <v>5512</v>
      </c>
      <c r="G27" s="8"/>
      <c r="H27">
        <v>2025</v>
      </c>
      <c r="I27" t="str">
        <f t="shared" si="0"/>
        <v>202520250724</v>
      </c>
    </row>
    <row r="28" spans="1:9" x14ac:dyDescent="0.3">
      <c r="A28" s="5" t="str">
        <f>IF(ISBLANK(C28),"",VLOOKUP(C28,'Database - Contacts'!$A$2:$D$7708,2,FALSE))</f>
        <v>Vulcan Aluminum</v>
      </c>
      <c r="B28" s="5">
        <f>IF(ISBLANK(C28),"",VLOOKUP(C28,'Database - Contacts'!$A$2:$D$7708,3,FALSE))</f>
        <v>120242165</v>
      </c>
      <c r="C28" s="6" t="s">
        <v>5479</v>
      </c>
      <c r="D28" s="5">
        <f>IF(ISBLANK(C28),"",VLOOKUP(C28,'Database - Contacts'!$A$2:$D$7708,4,FALSE))</f>
        <v>120242166</v>
      </c>
      <c r="E28" s="8" t="s">
        <v>5488</v>
      </c>
      <c r="F28" s="6" t="s">
        <v>5512</v>
      </c>
      <c r="G28" s="8"/>
      <c r="H28">
        <v>2025</v>
      </c>
      <c r="I28" t="str">
        <f t="shared" si="0"/>
        <v>202520250724</v>
      </c>
    </row>
    <row r="29" spans="1:9" x14ac:dyDescent="0.3">
      <c r="A29" s="5" t="str">
        <f>IF(ISBLANK(C29),"",VLOOKUP(C29,'Database - Contacts'!$A$2:$D$7708,2,FALSE))</f>
        <v>CI-Automation</v>
      </c>
      <c r="B29" s="5">
        <f>IF(ISBLANK(C29),"",VLOOKUP(C29,'Database - Contacts'!$A$2:$D$7708,3,FALSE))</f>
        <v>7507305</v>
      </c>
      <c r="C29" s="6" t="s">
        <v>5480</v>
      </c>
      <c r="D29" s="5">
        <f>IF(ISBLANK(C29),"",VLOOKUP(C29,'Database - Contacts'!$A$2:$D$7708,4,FALSE))</f>
        <v>101090811</v>
      </c>
      <c r="E29" s="8" t="s">
        <v>5435</v>
      </c>
      <c r="F29" s="6" t="s">
        <v>5512</v>
      </c>
      <c r="G29" s="8"/>
      <c r="H29">
        <v>2025</v>
      </c>
      <c r="I29" t="str">
        <f t="shared" si="0"/>
        <v>202520250724</v>
      </c>
    </row>
    <row r="30" spans="1:9" x14ac:dyDescent="0.3">
      <c r="A30" s="5" t="str">
        <f>IF(ISBLANK(C30),"",VLOOKUP(C30,'Database - Contacts'!$A$2:$D$7708,2,FALSE))</f>
        <v>CI-Automation</v>
      </c>
      <c r="B30" s="5">
        <f>IF(ISBLANK(C30),"",VLOOKUP(C30,'Database - Contacts'!$A$2:$D$7708,3,FALSE))</f>
        <v>7507305</v>
      </c>
      <c r="C30" s="6" t="s">
        <v>5482</v>
      </c>
      <c r="D30" s="5">
        <f>IF(ISBLANK(C30),"",VLOOKUP(C30,'Database - Contacts'!$A$2:$D$7708,4,FALSE))</f>
        <v>120134664</v>
      </c>
      <c r="E30" s="8" t="s">
        <v>5435</v>
      </c>
      <c r="F30" s="6" t="s">
        <v>5512</v>
      </c>
      <c r="G30" s="8"/>
      <c r="H30">
        <v>2025</v>
      </c>
      <c r="I30" t="str">
        <f t="shared" si="0"/>
        <v>202520250724</v>
      </c>
    </row>
    <row r="31" spans="1:9" x14ac:dyDescent="0.3">
      <c r="A31" s="5" t="str">
        <f>IF(ISBLANK(C31),"",VLOOKUP(C31,'Database - Contacts'!$A$2:$D$7708,2,FALSE))</f>
        <v>CI-Automation</v>
      </c>
      <c r="B31" s="5">
        <f>IF(ISBLANK(C31),"",VLOOKUP(C31,'Database - Contacts'!$A$2:$D$7708,3,FALSE))</f>
        <v>7507305</v>
      </c>
      <c r="C31" s="6" t="s">
        <v>5484</v>
      </c>
      <c r="D31" s="5">
        <f>IF(ISBLANK(C31),"",VLOOKUP(C31,'Database - Contacts'!$A$2:$D$7708,4,FALSE))</f>
        <v>120242167</v>
      </c>
      <c r="E31" s="8" t="s">
        <v>5435</v>
      </c>
      <c r="F31" s="6" t="s">
        <v>5512</v>
      </c>
      <c r="G31" s="8"/>
      <c r="H31">
        <v>2025</v>
      </c>
      <c r="I31" t="str">
        <f t="shared" si="0"/>
        <v>202520250724</v>
      </c>
    </row>
    <row r="32" spans="1:9" x14ac:dyDescent="0.3">
      <c r="A32" s="5" t="str">
        <f>IF(ISBLANK(C32),"",VLOOKUP(C32,'Database - Contacts'!$A$2:$D$7708,2,FALSE))</f>
        <v>Denso Plant 1 - Maryville, TN</v>
      </c>
      <c r="B32" s="5">
        <f>IF(ISBLANK(C32),"",VLOOKUP(C32,'Database - Contacts'!$A$2:$D$7708,3,FALSE))</f>
        <v>7487916</v>
      </c>
      <c r="C32" s="6" t="s">
        <v>154</v>
      </c>
      <c r="D32" s="5">
        <f>IF(ISBLANK(C32),"",VLOOKUP(C32,'Database - Contacts'!$A$2:$D$7708,4,FALSE))</f>
        <v>101058737</v>
      </c>
      <c r="E32" s="8" t="s">
        <v>1323</v>
      </c>
      <c r="F32" s="6" t="s">
        <v>5513</v>
      </c>
      <c r="G32" s="8"/>
      <c r="H32">
        <v>2025</v>
      </c>
      <c r="I32" t="str">
        <f t="shared" si="0"/>
        <v>202520250731</v>
      </c>
    </row>
    <row r="33" spans="1:9" x14ac:dyDescent="0.3">
      <c r="A33" s="5" t="str">
        <f>IF(ISBLANK(C33),"",VLOOKUP(C33,'Database - Contacts'!$A$2:$D$7708,2,FALSE))</f>
        <v>Denso Plant 1 - Maryville, TN</v>
      </c>
      <c r="B33" s="5">
        <f>IF(ISBLANK(C33),"",VLOOKUP(C33,'Database - Contacts'!$A$2:$D$7708,3,FALSE))</f>
        <v>7487916</v>
      </c>
      <c r="C33" s="6" t="s">
        <v>2651</v>
      </c>
      <c r="D33" s="5">
        <f>IF(ISBLANK(C33),"",VLOOKUP(C33,'Database - Contacts'!$A$2:$D$7708,4,FALSE))</f>
        <v>101140258</v>
      </c>
      <c r="E33" s="8" t="s">
        <v>1323</v>
      </c>
      <c r="F33" s="6" t="s">
        <v>5513</v>
      </c>
      <c r="G33" s="8"/>
      <c r="H33">
        <v>2025</v>
      </c>
      <c r="I33" t="str">
        <f t="shared" si="0"/>
        <v>202520250731</v>
      </c>
    </row>
    <row r="34" spans="1:9" x14ac:dyDescent="0.3">
      <c r="A34" s="5" t="str">
        <f>IF(ISBLANK(C34),"",VLOOKUP(C34,'Database - Contacts'!$A$2:$D$7708,2,FALSE))</f>
        <v>Denso Plant 1 - Maryville, TN</v>
      </c>
      <c r="B34" s="5">
        <f>IF(ISBLANK(C34),"",VLOOKUP(C34,'Database - Contacts'!$A$2:$D$7708,3,FALSE))</f>
        <v>7487916</v>
      </c>
      <c r="C34" s="6" t="s">
        <v>2372</v>
      </c>
      <c r="D34" s="5">
        <f>IF(ISBLANK(C34),"",VLOOKUP(C34,'Database - Contacts'!$A$2:$D$7708,4,FALSE))</f>
        <v>120043507</v>
      </c>
      <c r="E34" s="8" t="s">
        <v>1323</v>
      </c>
      <c r="F34" s="6" t="s">
        <v>5513</v>
      </c>
      <c r="G34" s="8"/>
      <c r="H34">
        <v>2025</v>
      </c>
      <c r="I34" t="str">
        <f t="shared" si="0"/>
        <v>202520250731</v>
      </c>
    </row>
    <row r="35" spans="1:9" x14ac:dyDescent="0.3">
      <c r="A35" s="5" t="str">
        <f>IF(ISBLANK(C35),"",VLOOKUP(C35,'Database - Contacts'!$A$2:$D$7708,2,FALSE))</f>
        <v>Denso Plant 1 - Maryville, TN</v>
      </c>
      <c r="B35" s="5">
        <f>IF(ISBLANK(C35),"",VLOOKUP(C35,'Database - Contacts'!$A$2:$D$7708,3,FALSE))</f>
        <v>7487916</v>
      </c>
      <c r="C35" s="6" t="s">
        <v>2367</v>
      </c>
      <c r="D35" s="5">
        <f>IF(ISBLANK(C35),"",VLOOKUP(C35,'Database - Contacts'!$A$2:$D$7708,4,FALSE))</f>
        <v>101134706</v>
      </c>
      <c r="E35" s="8" t="s">
        <v>1323</v>
      </c>
      <c r="F35" s="6" t="s">
        <v>5513</v>
      </c>
      <c r="G35" s="8"/>
      <c r="H35">
        <v>2025</v>
      </c>
      <c r="I35" t="str">
        <f t="shared" si="0"/>
        <v>202520250731</v>
      </c>
    </row>
    <row r="36" spans="1:9" x14ac:dyDescent="0.3">
      <c r="A36" s="5" t="str">
        <f>IF(ISBLANK(C36),"",VLOOKUP(C36,'Database - Contacts'!$A$2:$D$7708,2,FALSE))</f>
        <v>Denso Plant 1 - Maryville, TN</v>
      </c>
      <c r="B36" s="5">
        <f>IF(ISBLANK(C36),"",VLOOKUP(C36,'Database - Contacts'!$A$2:$D$7708,3,FALSE))</f>
        <v>7487916</v>
      </c>
      <c r="C36" s="6" t="s">
        <v>140</v>
      </c>
      <c r="D36" s="5">
        <f>IF(ISBLANK(C36),"",VLOOKUP(C36,'Database - Contacts'!$A$2:$D$7708,4,FALSE))</f>
        <v>101058780</v>
      </c>
      <c r="E36" s="8" t="s">
        <v>1323</v>
      </c>
      <c r="F36" s="6" t="s">
        <v>5513</v>
      </c>
      <c r="G36" s="8"/>
      <c r="H36">
        <v>2025</v>
      </c>
      <c r="I36" t="str">
        <f t="shared" si="0"/>
        <v>202520250731</v>
      </c>
    </row>
    <row r="37" spans="1:9" x14ac:dyDescent="0.3">
      <c r="A37" s="5" t="str">
        <f>IF(ISBLANK(C37),"",VLOOKUP(C37,'Database - Contacts'!$A$2:$D$7708,2,FALSE))</f>
        <v>Denso Plant 1 - Maryville, TN</v>
      </c>
      <c r="B37" s="5">
        <f>IF(ISBLANK(C37),"",VLOOKUP(C37,'Database - Contacts'!$A$2:$D$7708,3,FALSE))</f>
        <v>7487916</v>
      </c>
      <c r="C37" s="6" t="s">
        <v>2646</v>
      </c>
      <c r="D37" s="5">
        <f>IF(ISBLANK(C37),"",VLOOKUP(C37,'Database - Contacts'!$A$2:$D$7708,4,FALSE))</f>
        <v>101140257</v>
      </c>
      <c r="E37" s="8" t="s">
        <v>1323</v>
      </c>
      <c r="F37" s="6" t="s">
        <v>5513</v>
      </c>
      <c r="G37" s="8"/>
      <c r="H37">
        <v>2025</v>
      </c>
      <c r="I37" t="str">
        <f t="shared" si="0"/>
        <v>202520250731</v>
      </c>
    </row>
    <row r="38" spans="1:9" x14ac:dyDescent="0.3">
      <c r="A38" s="5" t="str">
        <f>IF(ISBLANK(C38),"",VLOOKUP(C38,'Database - Contacts'!$A$2:$D$7708,2,FALSE))</f>
        <v>Denso Plant 1 - Maryville, TN</v>
      </c>
      <c r="B38" s="5">
        <f>IF(ISBLANK(C38),"",VLOOKUP(C38,'Database - Contacts'!$A$2:$D$7708,3,FALSE))</f>
        <v>7487916</v>
      </c>
      <c r="C38" s="6" t="s">
        <v>2632</v>
      </c>
      <c r="D38" s="5">
        <f>IF(ISBLANK(C38),"",VLOOKUP(C38,'Database - Contacts'!$A$2:$D$7708,4,FALSE))</f>
        <v>101140290</v>
      </c>
      <c r="E38" s="8" t="s">
        <v>1323</v>
      </c>
      <c r="F38" s="6" t="s">
        <v>5513</v>
      </c>
      <c r="G38" s="8"/>
      <c r="H38">
        <v>2025</v>
      </c>
      <c r="I38" t="str">
        <f t="shared" si="0"/>
        <v>202520250731</v>
      </c>
    </row>
    <row r="39" spans="1:9" x14ac:dyDescent="0.3">
      <c r="A39" s="5" t="str">
        <f>IF(ISBLANK(C39),"",VLOOKUP(C39,'Database - Contacts'!$A$2:$D$7708,2,FALSE))</f>
        <v>Denso Plant 1 - Maryville, TN</v>
      </c>
      <c r="B39" s="5">
        <f>IF(ISBLANK(C39),"",VLOOKUP(C39,'Database - Contacts'!$A$2:$D$7708,3,FALSE))</f>
        <v>7487916</v>
      </c>
      <c r="C39" s="6" t="s">
        <v>5489</v>
      </c>
      <c r="D39" s="5">
        <f>IF(ISBLANK(C39),"",VLOOKUP(C39,'Database - Contacts'!$A$2:$D$7708,4,FALSE))</f>
        <v>120242168</v>
      </c>
      <c r="E39" s="8" t="s">
        <v>1323</v>
      </c>
      <c r="F39" s="6" t="s">
        <v>5513</v>
      </c>
      <c r="G39" s="8"/>
      <c r="H39">
        <v>2025</v>
      </c>
      <c r="I39" t="str">
        <f t="shared" si="0"/>
        <v>202520250731</v>
      </c>
    </row>
    <row r="40" spans="1:9" x14ac:dyDescent="0.3">
      <c r="A40" s="5" t="str">
        <f>IF(ISBLANK(C40),"",VLOOKUP(C40,'Database - Contacts'!$A$2:$D$7708,2,FALSE))</f>
        <v>Denso Plant 1 - Maryville, TN</v>
      </c>
      <c r="B40" s="5">
        <f>IF(ISBLANK(C40),"",VLOOKUP(C40,'Database - Contacts'!$A$2:$D$7708,3,FALSE))</f>
        <v>7487916</v>
      </c>
      <c r="C40" s="6" t="s">
        <v>5491</v>
      </c>
      <c r="D40" s="5">
        <f>IF(ISBLANK(C40),"",VLOOKUP(C40,'Database - Contacts'!$A$2:$D$7708,4,FALSE))</f>
        <v>120242169</v>
      </c>
      <c r="E40" s="8" t="s">
        <v>1323</v>
      </c>
      <c r="F40" s="6" t="s">
        <v>5513</v>
      </c>
      <c r="G40" s="8"/>
      <c r="H40">
        <v>2025</v>
      </c>
      <c r="I40" t="str">
        <f t="shared" si="0"/>
        <v>202520250731</v>
      </c>
    </row>
    <row r="41" spans="1:9" x14ac:dyDescent="0.3">
      <c r="A41" s="5" t="str">
        <f>IF(ISBLANK(C41),"",VLOOKUP(C41,'Database - Contacts'!$A$2:$D$7708,2,FALSE))</f>
        <v>Denso Plant 1 - Maryville, TN</v>
      </c>
      <c r="B41" s="5">
        <f>IF(ISBLANK(C41),"",VLOOKUP(C41,'Database - Contacts'!$A$2:$D$7708,3,FALSE))</f>
        <v>7487916</v>
      </c>
      <c r="C41" s="6" t="s">
        <v>5493</v>
      </c>
      <c r="D41" s="5">
        <f>IF(ISBLANK(C41),"",VLOOKUP(C41,'Database - Contacts'!$A$2:$D$7708,4,FALSE))</f>
        <v>120242170</v>
      </c>
      <c r="E41" s="8" t="s">
        <v>1323</v>
      </c>
      <c r="F41" s="6" t="s">
        <v>5513</v>
      </c>
      <c r="G41" s="8"/>
      <c r="H41">
        <v>2025</v>
      </c>
      <c r="I41" t="str">
        <f t="shared" si="0"/>
        <v>202520250731</v>
      </c>
    </row>
    <row r="42" spans="1:9" x14ac:dyDescent="0.3">
      <c r="A42" s="5" t="str">
        <f>IF(ISBLANK(C42),"",VLOOKUP(C42,'Database - Contacts'!$A$2:$D$7708,2,FALSE))</f>
        <v>Denso Plant 1 - Maryville, TN</v>
      </c>
      <c r="B42" s="5">
        <f>IF(ISBLANK(C42),"",VLOOKUP(C42,'Database - Contacts'!$A$2:$D$7708,3,FALSE))</f>
        <v>7487916</v>
      </c>
      <c r="C42" s="6" t="s">
        <v>5498</v>
      </c>
      <c r="D42" s="5">
        <f>IF(ISBLANK(C42),"",VLOOKUP(C42,'Database - Contacts'!$A$2:$D$7708,4,FALSE))</f>
        <v>120242172</v>
      </c>
      <c r="E42" s="8" t="s">
        <v>1323</v>
      </c>
      <c r="F42" s="6" t="s">
        <v>5513</v>
      </c>
      <c r="G42" s="8"/>
      <c r="H42">
        <v>2025</v>
      </c>
      <c r="I42" t="str">
        <f t="shared" si="0"/>
        <v>202520250731</v>
      </c>
    </row>
    <row r="43" spans="1:9" x14ac:dyDescent="0.3">
      <c r="A43" s="5" t="str">
        <f>IF(ISBLANK(C43),"",VLOOKUP(C43,'Database - Contacts'!$A$2:$D$7708,2,FALSE))</f>
        <v>Denso Plant 1 - Maryville, TN</v>
      </c>
      <c r="B43" s="5">
        <f>IF(ISBLANK(C43),"",VLOOKUP(C43,'Database - Contacts'!$A$2:$D$7708,3,FALSE))</f>
        <v>7487916</v>
      </c>
      <c r="C43" s="6" t="s">
        <v>5496</v>
      </c>
      <c r="D43" s="5">
        <f>IF(ISBLANK(C43),"",VLOOKUP(C43,'Database - Contacts'!$A$2:$D$7708,4,FALSE))</f>
        <v>120242171</v>
      </c>
      <c r="E43" s="8" t="s">
        <v>1323</v>
      </c>
      <c r="F43" s="6" t="s">
        <v>5513</v>
      </c>
      <c r="G43" s="8"/>
      <c r="H43">
        <v>2025</v>
      </c>
      <c r="I43" t="str">
        <f t="shared" si="0"/>
        <v>202520250731</v>
      </c>
    </row>
    <row r="44" spans="1:9" x14ac:dyDescent="0.3">
      <c r="A44" s="5" t="str">
        <f>IF(ISBLANK(C44),"",VLOOKUP(C44,'Database - Contacts'!$A$2:$D$7708,2,FALSE))</f>
        <v>Denso Plant 1 - Maryville, TN</v>
      </c>
      <c r="B44" s="5">
        <f>IF(ISBLANK(C44),"",VLOOKUP(C44,'Database - Contacts'!$A$2:$D$7708,3,FALSE))</f>
        <v>7487916</v>
      </c>
      <c r="C44" s="6" t="s">
        <v>5489</v>
      </c>
      <c r="D44" s="5">
        <f>IF(ISBLANK(C44),"",VLOOKUP(C44,'Database - Contacts'!$A$2:$D$7708,4,FALSE))</f>
        <v>120242168</v>
      </c>
      <c r="E44" s="8" t="s">
        <v>1323</v>
      </c>
      <c r="F44" s="6" t="s">
        <v>5513</v>
      </c>
      <c r="G44" s="8"/>
      <c r="H44">
        <v>2025</v>
      </c>
      <c r="I44" t="str">
        <f t="shared" si="0"/>
        <v>202520250731</v>
      </c>
    </row>
    <row r="45" spans="1:9" x14ac:dyDescent="0.3">
      <c r="A45" s="5" t="str">
        <f>IF(ISBLANK(C45),"",VLOOKUP(C45,'Database - Contacts'!$A$2:$D$7708,2,FALSE))</f>
        <v>Denso Plant 1 - Maryville, TN</v>
      </c>
      <c r="B45" s="5">
        <f>IF(ISBLANK(C45),"",VLOOKUP(C45,'Database - Contacts'!$A$2:$D$7708,3,FALSE))</f>
        <v>7487916</v>
      </c>
      <c r="C45" s="6" t="s">
        <v>5491</v>
      </c>
      <c r="D45" s="5">
        <f>IF(ISBLANK(C45),"",VLOOKUP(C45,'Database - Contacts'!$A$2:$D$7708,4,FALSE))</f>
        <v>120242169</v>
      </c>
      <c r="E45" s="8" t="s">
        <v>1323</v>
      </c>
      <c r="F45" s="6" t="s">
        <v>5513</v>
      </c>
      <c r="G45" s="8"/>
      <c r="H45">
        <v>2025</v>
      </c>
      <c r="I45" t="str">
        <f t="shared" si="0"/>
        <v>202520250731</v>
      </c>
    </row>
    <row r="46" spans="1:9" x14ac:dyDescent="0.3">
      <c r="A46" s="5" t="str">
        <f>IF(ISBLANK(C46),"",VLOOKUP(C46,'Database - Contacts'!$A$2:$D$7708,2,FALSE))</f>
        <v>Denso Plant 1 - Maryville, TN</v>
      </c>
      <c r="B46" s="5">
        <f>IF(ISBLANK(C46),"",VLOOKUP(C46,'Database - Contacts'!$A$2:$D$7708,3,FALSE))</f>
        <v>7487916</v>
      </c>
      <c r="C46" s="6" t="s">
        <v>5493</v>
      </c>
      <c r="D46" s="5">
        <f>IF(ISBLANK(C46),"",VLOOKUP(C46,'Database - Contacts'!$A$2:$D$7708,4,FALSE))</f>
        <v>120242170</v>
      </c>
      <c r="E46" s="8" t="s">
        <v>1323</v>
      </c>
      <c r="F46" s="6" t="s">
        <v>5513</v>
      </c>
      <c r="G46" s="8"/>
      <c r="H46">
        <v>2025</v>
      </c>
      <c r="I46" t="str">
        <f t="shared" si="0"/>
        <v>202520250731</v>
      </c>
    </row>
    <row r="47" spans="1:9" x14ac:dyDescent="0.3">
      <c r="A47" s="5" t="str">
        <f>IF(ISBLANK(C47),"",VLOOKUP(C47,'Database - Contacts'!$A$2:$D$7708,2,FALSE))</f>
        <v>Denso Plant 1 - Maryville, TN</v>
      </c>
      <c r="B47" s="5">
        <f>IF(ISBLANK(C47),"",VLOOKUP(C47,'Database - Contacts'!$A$2:$D$7708,3,FALSE))</f>
        <v>7487916</v>
      </c>
      <c r="C47" s="6" t="s">
        <v>5498</v>
      </c>
      <c r="D47" s="5">
        <f>IF(ISBLANK(C47),"",VLOOKUP(C47,'Database - Contacts'!$A$2:$D$7708,4,FALSE))</f>
        <v>120242172</v>
      </c>
      <c r="E47" s="8" t="s">
        <v>1323</v>
      </c>
      <c r="F47" s="6" t="s">
        <v>5513</v>
      </c>
      <c r="G47" s="8"/>
      <c r="H47">
        <v>2025</v>
      </c>
      <c r="I47" t="str">
        <f t="shared" si="0"/>
        <v>202520250731</v>
      </c>
    </row>
    <row r="48" spans="1:9" x14ac:dyDescent="0.3">
      <c r="A48" s="5" t="str">
        <f>IF(ISBLANK(C48),"",VLOOKUP(C48,'Database - Contacts'!$A$2:$D$7708,2,FALSE))</f>
        <v>Denso Plant 1 - Maryville, TN</v>
      </c>
      <c r="B48" s="5">
        <f>IF(ISBLANK(C48),"",VLOOKUP(C48,'Database - Contacts'!$A$2:$D$7708,3,FALSE))</f>
        <v>7487916</v>
      </c>
      <c r="C48" s="6" t="s">
        <v>5496</v>
      </c>
      <c r="D48" s="5">
        <f>IF(ISBLANK(C48),"",VLOOKUP(C48,'Database - Contacts'!$A$2:$D$7708,4,FALSE))</f>
        <v>120242171</v>
      </c>
      <c r="E48" s="8" t="s">
        <v>1323</v>
      </c>
      <c r="F48" s="6" t="s">
        <v>5513</v>
      </c>
      <c r="G48" s="8"/>
      <c r="H48">
        <v>2025</v>
      </c>
      <c r="I48" t="str">
        <f t="shared" si="0"/>
        <v>202520250731</v>
      </c>
    </row>
    <row r="49" spans="1:9" x14ac:dyDescent="0.3">
      <c r="A49" s="5" t="str">
        <f>IF(ISBLANK(C49),"",VLOOKUP(C49,'Database - Contacts'!$A$2:$D$7708,2,FALSE))</f>
        <v>NRT</v>
      </c>
      <c r="B49" s="5">
        <f>IF(ISBLANK(C49),"",VLOOKUP(C49,'Database - Contacts'!$A$2:$D$7708,3,FALSE))</f>
        <v>532951</v>
      </c>
      <c r="C49" s="6" t="s">
        <v>4628</v>
      </c>
      <c r="D49" s="5">
        <f>IF(ISBLANK(C49),"",VLOOKUP(C49,'Database - Contacts'!$A$2:$D$7708,4,FALSE))</f>
        <v>120242173</v>
      </c>
      <c r="E49" s="8" t="s">
        <v>5500</v>
      </c>
      <c r="F49" s="6" t="s">
        <v>5514</v>
      </c>
      <c r="G49" s="8"/>
      <c r="H49">
        <v>2025</v>
      </c>
      <c r="I49" t="str">
        <f t="shared" si="0"/>
        <v>202520250725</v>
      </c>
    </row>
    <row r="50" spans="1:9" x14ac:dyDescent="0.3">
      <c r="A50" s="5" t="str">
        <f>IF(ISBLANK(C50),"",VLOOKUP(C50,'Database - Contacts'!$A$2:$D$7708,2,FALSE))</f>
        <v>ASTEC</v>
      </c>
      <c r="B50" s="5">
        <f>IF(ISBLANK(C50),"",VLOOKUP(C50,'Database - Contacts'!$A$2:$D$7708,3,FALSE))</f>
        <v>508073</v>
      </c>
      <c r="C50" s="6" t="s">
        <v>5501</v>
      </c>
      <c r="D50" s="5">
        <f>IF(ISBLANK(C50),"",VLOOKUP(C50,'Database - Contacts'!$A$2:$D$7708,4,FALSE))</f>
        <v>100727906</v>
      </c>
      <c r="E50" s="8" t="s">
        <v>5502</v>
      </c>
      <c r="F50" s="6" t="s">
        <v>5515</v>
      </c>
      <c r="G50" s="8"/>
      <c r="H50">
        <v>2025</v>
      </c>
      <c r="I50" t="str">
        <f t="shared" si="0"/>
        <v>202520250701</v>
      </c>
    </row>
    <row r="51" spans="1:9" x14ac:dyDescent="0.3">
      <c r="A51" s="5" t="str">
        <f>IF(ISBLANK(C51),"",VLOOKUP(C51,'Database - Contacts'!$A$2:$D$7708,2,FALSE))</f>
        <v>Corley Mfg</v>
      </c>
      <c r="B51" s="5">
        <f>IF(ISBLANK(C51),"",VLOOKUP(C51,'Database - Contacts'!$A$2:$D$7708,3,FALSE))</f>
        <v>120141398</v>
      </c>
      <c r="C51" s="6" t="s">
        <v>2774</v>
      </c>
      <c r="D51" s="5">
        <f>IF(ISBLANK(C51),"",VLOOKUP(C51,'Database - Contacts'!$A$2:$D$7708,4,FALSE))</f>
        <v>120141399</v>
      </c>
      <c r="E51" s="8" t="s">
        <v>5503</v>
      </c>
      <c r="F51" s="6" t="s">
        <v>5515</v>
      </c>
      <c r="G51" s="8"/>
      <c r="H51">
        <v>2025</v>
      </c>
      <c r="I51" t="str">
        <f t="shared" si="0"/>
        <v>202520250701</v>
      </c>
    </row>
    <row r="52" spans="1:9" x14ac:dyDescent="0.3">
      <c r="A52" s="5" t="str">
        <f>IF(ISBLANK(C52),"",VLOOKUP(C52,'Database - Contacts'!$A$2:$D$7708,2,FALSE))</f>
        <v>Ropak</v>
      </c>
      <c r="B52" s="5">
        <f>IF(ISBLANK(C52),"",VLOOKUP(C52,'Database - Contacts'!$A$2:$D$7708,3,FALSE))</f>
        <v>510794</v>
      </c>
      <c r="C52" s="6" t="s">
        <v>5504</v>
      </c>
      <c r="D52" s="5">
        <f>IF(ISBLANK(C52),"",VLOOKUP(C52,'Database - Contacts'!$A$2:$D$7708,4,FALSE))</f>
        <v>100729027</v>
      </c>
      <c r="E52" s="8" t="s">
        <v>5505</v>
      </c>
      <c r="F52" s="6" t="s">
        <v>5516</v>
      </c>
      <c r="G52" s="8"/>
      <c r="H52">
        <v>2025</v>
      </c>
      <c r="I52" t="str">
        <f t="shared" si="0"/>
        <v>202520250703</v>
      </c>
    </row>
    <row r="53" spans="1:9" x14ac:dyDescent="0.3">
      <c r="A53" s="5" t="str">
        <f>IF(ISBLANK(C53),"",VLOOKUP(C53,'Database - Contacts'!$A$2:$D$7708,2,FALSE))</f>
        <v>One Off Robotics Chattanooga, TN</v>
      </c>
      <c r="B53" s="5">
        <f>IF(ISBLANK(C53),"",VLOOKUP(C53,'Database - Contacts'!$A$2:$D$7708,3,FALSE))</f>
        <v>7505489</v>
      </c>
      <c r="C53" s="6" t="s">
        <v>5506</v>
      </c>
      <c r="D53" s="5">
        <f>IF(ISBLANK(C53),"",VLOOKUP(C53,'Database - Contacts'!$A$2:$D$7708,4,FALSE))</f>
        <v>101083253</v>
      </c>
      <c r="E53" s="8" t="s">
        <v>5507</v>
      </c>
      <c r="F53" s="6" t="s">
        <v>5515</v>
      </c>
      <c r="G53" s="8"/>
      <c r="H53">
        <v>2025</v>
      </c>
      <c r="I53" t="str">
        <f t="shared" si="0"/>
        <v>202520250701</v>
      </c>
    </row>
    <row r="54" spans="1:9" x14ac:dyDescent="0.3">
      <c r="A54" s="5" t="str">
        <f>IF(ISBLANK(C54),"",VLOOKUP(C54,'Database - Contacts'!$A$2:$D$7708,2,FALSE))</f>
        <v>ASTEC</v>
      </c>
      <c r="B54" s="5">
        <f>IF(ISBLANK(C54),"",VLOOKUP(C54,'Database - Contacts'!$A$2:$D$7708,3,FALSE))</f>
        <v>508073</v>
      </c>
      <c r="C54" s="6" t="s">
        <v>2605</v>
      </c>
      <c r="D54" s="5">
        <f>IF(ISBLANK(C54),"",VLOOKUP(C54,'Database - Contacts'!$A$2:$D$7708,4,FALSE))</f>
        <v>101140270</v>
      </c>
      <c r="E54" s="8" t="s">
        <v>5508</v>
      </c>
      <c r="F54" s="6" t="s">
        <v>5517</v>
      </c>
      <c r="G54" s="8"/>
      <c r="H54">
        <v>2025</v>
      </c>
      <c r="I54" t="str">
        <f t="shared" si="0"/>
        <v>202520250716</v>
      </c>
    </row>
    <row r="55" spans="1:9" x14ac:dyDescent="0.3">
      <c r="A55" s="5" t="str">
        <f>IF(ISBLANK(C55),"",VLOOKUP(C55,'Database - Contacts'!$A$2:$D$7708,2,FALSE))</f>
        <v/>
      </c>
      <c r="B55" s="5" t="str">
        <f>IF(ISBLANK(C55),"",VLOOKUP(C55,'Database - Contacts'!$A$2:$D$7708,3,FALSE))</f>
        <v/>
      </c>
      <c r="C55" s="6"/>
      <c r="D55" s="5" t="str">
        <f>IF(ISBLANK(C55),"",VLOOKUP(C55,'Database - Contacts'!$A$2:$D$7708,4,FALSE))</f>
        <v/>
      </c>
      <c r="E55" s="8"/>
      <c r="G55" s="8"/>
      <c r="H55">
        <v>2025</v>
      </c>
      <c r="I55" t="str">
        <f t="shared" si="0"/>
        <v>2025</v>
      </c>
    </row>
    <row r="56" spans="1:9" x14ac:dyDescent="0.3">
      <c r="A56" s="5" t="str">
        <f>IF(ISBLANK(C56),"",VLOOKUP(C56,'Database - Contacts'!$A$2:$D$7708,2,FALSE))</f>
        <v/>
      </c>
      <c r="B56" s="5" t="str">
        <f>IF(ISBLANK(C56),"",VLOOKUP(C56,'Database - Contacts'!$A$2:$D$7708,3,FALSE))</f>
        <v/>
      </c>
      <c r="C56" s="6"/>
      <c r="D56" s="5" t="str">
        <f>IF(ISBLANK(C56),"",VLOOKUP(C56,'Database - Contacts'!$A$2:$D$7708,4,FALSE))</f>
        <v/>
      </c>
      <c r="E56" s="8"/>
      <c r="G56" s="8"/>
      <c r="H56">
        <v>2025</v>
      </c>
      <c r="I56" t="str">
        <f t="shared" si="0"/>
        <v>2025</v>
      </c>
    </row>
    <row r="57" spans="1:9" x14ac:dyDescent="0.3">
      <c r="A57" s="5" t="str">
        <f>IF(ISBLANK(C57),"",VLOOKUP(C57,'Database - Contacts'!$A$2:$D$7708,2,FALSE))</f>
        <v/>
      </c>
      <c r="B57" s="5" t="str">
        <f>IF(ISBLANK(C57),"",VLOOKUP(C57,'Database - Contacts'!$A$2:$D$7708,3,FALSE))</f>
        <v/>
      </c>
      <c r="C57" s="6"/>
      <c r="D57" s="5" t="str">
        <f>IF(ISBLANK(C57),"",VLOOKUP(C57,'Database - Contacts'!$A$2:$D$7708,4,FALSE))</f>
        <v/>
      </c>
      <c r="E57" s="8"/>
      <c r="G57" s="8"/>
      <c r="H57">
        <v>2025</v>
      </c>
      <c r="I57" t="str">
        <f t="shared" si="0"/>
        <v>2025</v>
      </c>
    </row>
    <row r="58" spans="1:9" x14ac:dyDescent="0.3">
      <c r="A58" s="5" t="str">
        <f>IF(ISBLANK(C58),"",VLOOKUP(C58,'Database - Contacts'!$A$2:$D$7708,2,FALSE))</f>
        <v/>
      </c>
      <c r="B58" s="5" t="str">
        <f>IF(ISBLANK(C58),"",VLOOKUP(C58,'Database - Contacts'!$A$2:$D$7708,3,FALSE))</f>
        <v/>
      </c>
      <c r="C58" s="6"/>
      <c r="D58" s="5" t="str">
        <f>IF(ISBLANK(C58),"",VLOOKUP(C58,'Database - Contacts'!$A$2:$D$7708,4,FALSE))</f>
        <v/>
      </c>
      <c r="E58" s="8"/>
      <c r="G58" s="8"/>
      <c r="H58">
        <v>2025</v>
      </c>
      <c r="I58" t="str">
        <f t="shared" si="0"/>
        <v>2025</v>
      </c>
    </row>
    <row r="59" spans="1:9" x14ac:dyDescent="0.3">
      <c r="A59" s="5" t="str">
        <f>IF(ISBLANK(C59),"",VLOOKUP(C59,'Database - Contacts'!$A$2:$D$7708,2,FALSE))</f>
        <v/>
      </c>
      <c r="B59" s="5" t="str">
        <f>IF(ISBLANK(C59),"",VLOOKUP(C59,'Database - Contacts'!$A$2:$D$7708,3,FALSE))</f>
        <v/>
      </c>
      <c r="C59" s="6"/>
      <c r="D59" s="5" t="str">
        <f>IF(ISBLANK(C59),"",VLOOKUP(C59,'Database - Contacts'!$A$2:$D$7708,4,FALSE))</f>
        <v/>
      </c>
      <c r="E59" s="8"/>
      <c r="G59" s="8"/>
      <c r="H59">
        <v>2025</v>
      </c>
      <c r="I59" t="str">
        <f t="shared" si="0"/>
        <v>2025</v>
      </c>
    </row>
    <row r="60" spans="1:9" x14ac:dyDescent="0.3">
      <c r="A60" s="5" t="str">
        <f>IF(ISBLANK(C60),"",VLOOKUP(C60,'Database - Contacts'!$A$2:$D$7708,2,FALSE))</f>
        <v/>
      </c>
      <c r="B60" s="5" t="str">
        <f>IF(ISBLANK(C60),"",VLOOKUP(C60,'Database - Contacts'!$A$2:$D$7708,3,FALSE))</f>
        <v/>
      </c>
      <c r="C60" s="6"/>
      <c r="D60" s="5" t="str">
        <f>IF(ISBLANK(C60),"",VLOOKUP(C60,'Database - Contacts'!$A$2:$D$7708,4,FALSE))</f>
        <v/>
      </c>
      <c r="E60" s="8"/>
      <c r="G60" s="8"/>
      <c r="H60">
        <v>2025</v>
      </c>
      <c r="I60" t="str">
        <f t="shared" si="0"/>
        <v>2025</v>
      </c>
    </row>
    <row r="61" spans="1:9" x14ac:dyDescent="0.3">
      <c r="A61" s="5" t="str">
        <f>IF(ISBLANK(C61),"",VLOOKUP(C61,'Database - Contacts'!$A$2:$D$7708,2,FALSE))</f>
        <v/>
      </c>
      <c r="B61" s="5" t="str">
        <f>IF(ISBLANK(C61),"",VLOOKUP(C61,'Database - Contacts'!$A$2:$D$7708,3,FALSE))</f>
        <v/>
      </c>
      <c r="C61" s="6"/>
      <c r="D61" s="5" t="str">
        <f>IF(ISBLANK(C61),"",VLOOKUP(C61,'Database - Contacts'!$A$2:$D$7708,4,FALSE))</f>
        <v/>
      </c>
      <c r="E61" s="8"/>
      <c r="G61" s="8"/>
      <c r="H61">
        <v>2025</v>
      </c>
      <c r="I61" t="str">
        <f t="shared" si="0"/>
        <v>2025</v>
      </c>
    </row>
    <row r="62" spans="1:9" x14ac:dyDescent="0.3">
      <c r="A62" s="5" t="str">
        <f>IF(ISBLANK(C62),"",VLOOKUP(C62,'Database - Contacts'!$A$2:$D$7708,2,FALSE))</f>
        <v/>
      </c>
      <c r="B62" s="5" t="str">
        <f>IF(ISBLANK(C62),"",VLOOKUP(C62,'Database - Contacts'!$A$2:$D$7708,3,FALSE))</f>
        <v/>
      </c>
      <c r="C62" s="6"/>
      <c r="D62" s="5" t="str">
        <f>IF(ISBLANK(C62),"",VLOOKUP(C62,'Database - Contacts'!$A$2:$D$7708,4,FALSE))</f>
        <v/>
      </c>
      <c r="E62" s="8"/>
      <c r="G62" s="8"/>
      <c r="H62">
        <v>2025</v>
      </c>
      <c r="I62" t="str">
        <f t="shared" si="0"/>
        <v>2025</v>
      </c>
    </row>
    <row r="63" spans="1:9" x14ac:dyDescent="0.3">
      <c r="A63" s="5" t="str">
        <f>IF(ISBLANK(C63),"",VLOOKUP(C63,'Database - Contacts'!$A$2:$D$7708,2,FALSE))</f>
        <v/>
      </c>
      <c r="B63" s="5" t="str">
        <f>IF(ISBLANK(C63),"",VLOOKUP(C63,'Database - Contacts'!$A$2:$D$7708,3,FALSE))</f>
        <v/>
      </c>
      <c r="C63" s="6"/>
      <c r="D63" s="5" t="str">
        <f>IF(ISBLANK(C63),"",VLOOKUP(C63,'Database - Contacts'!$A$2:$D$7708,4,FALSE))</f>
        <v/>
      </c>
      <c r="E63" s="8"/>
      <c r="G63" s="8"/>
      <c r="H63">
        <v>2025</v>
      </c>
      <c r="I63" t="str">
        <f t="shared" si="0"/>
        <v>2025</v>
      </c>
    </row>
    <row r="64" spans="1:9" x14ac:dyDescent="0.3">
      <c r="A64" s="5" t="str">
        <f>IF(ISBLANK(C64),"",VLOOKUP(C64,'Database - Contacts'!$A$2:$D$7708,2,FALSE))</f>
        <v/>
      </c>
      <c r="B64" s="5" t="str">
        <f>IF(ISBLANK(C64),"",VLOOKUP(C64,'Database - Contacts'!$A$2:$D$7708,3,FALSE))</f>
        <v/>
      </c>
      <c r="C64" s="6"/>
      <c r="D64" s="5" t="str">
        <f>IF(ISBLANK(C64),"",VLOOKUP(C64,'Database - Contacts'!$A$2:$D$7708,4,FALSE))</f>
        <v/>
      </c>
      <c r="E64" s="8"/>
      <c r="G64" s="8"/>
      <c r="H64">
        <v>2025</v>
      </c>
      <c r="I64" t="str">
        <f t="shared" si="0"/>
        <v>2025</v>
      </c>
    </row>
    <row r="65" spans="1:9" x14ac:dyDescent="0.3">
      <c r="A65" s="5" t="str">
        <f>IF(ISBLANK(C65),"",VLOOKUP(C65,'Database - Contacts'!$A$2:$D$7708,2,FALSE))</f>
        <v/>
      </c>
      <c r="B65" s="5" t="str">
        <f>IF(ISBLANK(C65),"",VLOOKUP(C65,'Database - Contacts'!$A$2:$D$7708,3,FALSE))</f>
        <v/>
      </c>
      <c r="C65" s="6"/>
      <c r="D65" s="5" t="str">
        <f>IF(ISBLANK(C65),"",VLOOKUP(C65,'Database - Contacts'!$A$2:$D$7708,4,FALSE))</f>
        <v/>
      </c>
      <c r="E65" s="8"/>
      <c r="G65" s="8"/>
      <c r="H65">
        <v>2025</v>
      </c>
      <c r="I65" t="str">
        <f t="shared" si="0"/>
        <v>2025</v>
      </c>
    </row>
    <row r="66" spans="1:9" x14ac:dyDescent="0.3">
      <c r="A66" s="5" t="str">
        <f>IF(ISBLANK(C66),"",VLOOKUP(C66,'Database - Contacts'!$A$2:$D$7708,2,FALSE))</f>
        <v/>
      </c>
      <c r="B66" s="5" t="str">
        <f>IF(ISBLANK(C66),"",VLOOKUP(C66,'Database - Contacts'!$A$2:$D$7708,3,FALSE))</f>
        <v/>
      </c>
      <c r="C66" s="6"/>
      <c r="D66" s="5" t="str">
        <f>IF(ISBLANK(C66),"",VLOOKUP(C66,'Database - Contacts'!$A$2:$D$7708,4,FALSE))</f>
        <v/>
      </c>
      <c r="E66" s="8"/>
      <c r="G66" s="8"/>
      <c r="H66">
        <v>2025</v>
      </c>
      <c r="I66" t="str">
        <f t="shared" si="0"/>
        <v>2025</v>
      </c>
    </row>
    <row r="67" spans="1:9" x14ac:dyDescent="0.3">
      <c r="A67" s="5" t="str">
        <f>IF(ISBLANK(C67),"",VLOOKUP(C67,'Database - Contacts'!$A$2:$D$7708,2,FALSE))</f>
        <v/>
      </c>
      <c r="B67" s="5" t="str">
        <f>IF(ISBLANK(C67),"",VLOOKUP(C67,'Database - Contacts'!$A$2:$D$7708,3,FALSE))</f>
        <v/>
      </c>
      <c r="C67" s="6"/>
      <c r="D67" s="5" t="str">
        <f>IF(ISBLANK(C67),"",VLOOKUP(C67,'Database - Contacts'!$A$2:$D$7708,4,FALSE))</f>
        <v/>
      </c>
      <c r="E67" s="8"/>
      <c r="G67" s="8"/>
      <c r="H67">
        <v>2025</v>
      </c>
      <c r="I67" t="str">
        <f t="shared" ref="I67:I112" si="1">_xlfn.CONCAT(H67,F67)</f>
        <v>2025</v>
      </c>
    </row>
    <row r="68" spans="1:9" x14ac:dyDescent="0.3">
      <c r="A68" s="5" t="str">
        <f>IF(ISBLANK(C68),"",VLOOKUP(C68,'Database - Contacts'!$A$2:$D$7708,2,FALSE))</f>
        <v/>
      </c>
      <c r="B68" s="5" t="str">
        <f>IF(ISBLANK(C68),"",VLOOKUP(C68,'Database - Contacts'!$A$2:$D$7708,3,FALSE))</f>
        <v/>
      </c>
      <c r="C68" s="6"/>
      <c r="D68" s="5" t="str">
        <f>IF(ISBLANK(C68),"",VLOOKUP(C68,'Database - Contacts'!$A$2:$D$7708,4,FALSE))</f>
        <v/>
      </c>
      <c r="E68" s="8"/>
      <c r="G68" s="8"/>
      <c r="H68">
        <v>2025</v>
      </c>
      <c r="I68" t="str">
        <f t="shared" si="1"/>
        <v>2025</v>
      </c>
    </row>
    <row r="69" spans="1:9" x14ac:dyDescent="0.3">
      <c r="A69" s="5" t="str">
        <f>IF(ISBLANK(C69),"",VLOOKUP(C69,'Database - Contacts'!$A$2:$D$7708,2,FALSE))</f>
        <v/>
      </c>
      <c r="B69" s="5" t="str">
        <f>IF(ISBLANK(C69),"",VLOOKUP(C69,'Database - Contacts'!$A$2:$D$7708,3,FALSE))</f>
        <v/>
      </c>
      <c r="C69" s="6"/>
      <c r="D69" s="5" t="str">
        <f>IF(ISBLANK(C69),"",VLOOKUP(C69,'Database - Contacts'!$A$2:$D$7708,4,FALSE))</f>
        <v/>
      </c>
      <c r="E69" s="8"/>
      <c r="G69" s="8"/>
      <c r="H69">
        <v>2025</v>
      </c>
      <c r="I69" t="str">
        <f t="shared" si="1"/>
        <v>2025</v>
      </c>
    </row>
    <row r="70" spans="1:9" x14ac:dyDescent="0.3">
      <c r="A70" s="5" t="str">
        <f>IF(ISBLANK(C70),"",VLOOKUP(C70,'Database - Contacts'!$A$2:$D$7708,2,FALSE))</f>
        <v/>
      </c>
      <c r="B70" s="5" t="str">
        <f>IF(ISBLANK(C70),"",VLOOKUP(C70,'Database - Contacts'!$A$2:$D$7708,3,FALSE))</f>
        <v/>
      </c>
      <c r="C70" s="6"/>
      <c r="D70" s="5" t="str">
        <f>IF(ISBLANK(C70),"",VLOOKUP(C70,'Database - Contacts'!$A$2:$D$7708,4,FALSE))</f>
        <v/>
      </c>
      <c r="E70" s="8"/>
      <c r="G70" s="8"/>
      <c r="H70">
        <v>2025</v>
      </c>
      <c r="I70" t="str">
        <f t="shared" si="1"/>
        <v>2025</v>
      </c>
    </row>
    <row r="71" spans="1:9" x14ac:dyDescent="0.3">
      <c r="A71" s="5" t="str">
        <f>IF(ISBLANK(C71),"",VLOOKUP(C71,'Database - Contacts'!$A$2:$D$7708,2,FALSE))</f>
        <v/>
      </c>
      <c r="B71" s="5" t="str">
        <f>IF(ISBLANK(C71),"",VLOOKUP(C71,'Database - Contacts'!$A$2:$D$7708,3,FALSE))</f>
        <v/>
      </c>
      <c r="C71" s="6"/>
      <c r="D71" s="5" t="str">
        <f>IF(ISBLANK(C71),"",VLOOKUP(C71,'Database - Contacts'!$A$2:$D$7708,4,FALSE))</f>
        <v/>
      </c>
      <c r="E71" s="8"/>
      <c r="G71" s="8"/>
      <c r="H71">
        <v>2025</v>
      </c>
      <c r="I71" t="str">
        <f t="shared" si="1"/>
        <v>2025</v>
      </c>
    </row>
    <row r="72" spans="1:9" x14ac:dyDescent="0.3">
      <c r="A72" s="5" t="str">
        <f>IF(ISBLANK(C72),"",VLOOKUP(C72,'Database - Contacts'!$A$2:$D$7708,2,FALSE))</f>
        <v/>
      </c>
      <c r="B72" s="5" t="str">
        <f>IF(ISBLANK(C72),"",VLOOKUP(C72,'Database - Contacts'!$A$2:$D$7708,3,FALSE))</f>
        <v/>
      </c>
      <c r="C72" s="6"/>
      <c r="D72" s="5" t="str">
        <f>IF(ISBLANK(C72),"",VLOOKUP(C72,'Database - Contacts'!$A$2:$D$7708,4,FALSE))</f>
        <v/>
      </c>
      <c r="E72" s="8"/>
      <c r="G72" s="8"/>
      <c r="H72">
        <v>2025</v>
      </c>
      <c r="I72" t="str">
        <f t="shared" si="1"/>
        <v>2025</v>
      </c>
    </row>
    <row r="73" spans="1:9" x14ac:dyDescent="0.3">
      <c r="A73" s="5" t="str">
        <f>IF(ISBLANK(C73),"",VLOOKUP(C73,'Database - Contacts'!$A$2:$D$7708,2,FALSE))</f>
        <v/>
      </c>
      <c r="B73" s="5" t="str">
        <f>IF(ISBLANK(C73),"",VLOOKUP(C73,'Database - Contacts'!$A$2:$D$7708,3,FALSE))</f>
        <v/>
      </c>
      <c r="C73" s="6"/>
      <c r="D73" s="5" t="str">
        <f>IF(ISBLANK(C73),"",VLOOKUP(C73,'Database - Contacts'!$A$2:$D$7708,4,FALSE))</f>
        <v/>
      </c>
      <c r="E73" s="8"/>
      <c r="G73" s="8"/>
      <c r="H73">
        <v>2025</v>
      </c>
      <c r="I73" t="str">
        <f t="shared" si="1"/>
        <v>2025</v>
      </c>
    </row>
    <row r="74" spans="1:9" x14ac:dyDescent="0.3">
      <c r="A74" s="5" t="str">
        <f>IF(ISBLANK(C74),"",VLOOKUP(C74,'Database - Contacts'!$A$2:$D$7708,2,FALSE))</f>
        <v/>
      </c>
      <c r="B74" s="5" t="str">
        <f>IF(ISBLANK(C74),"",VLOOKUP(C74,'Database - Contacts'!$A$2:$D$7708,3,FALSE))</f>
        <v/>
      </c>
      <c r="C74" s="6"/>
      <c r="D74" s="5" t="str">
        <f>IF(ISBLANK(C74),"",VLOOKUP(C74,'Database - Contacts'!$A$2:$D$7708,4,FALSE))</f>
        <v/>
      </c>
      <c r="E74" s="8"/>
      <c r="G74" s="8"/>
      <c r="H74">
        <v>2025</v>
      </c>
      <c r="I74" t="str">
        <f t="shared" si="1"/>
        <v>2025</v>
      </c>
    </row>
    <row r="75" spans="1:9" x14ac:dyDescent="0.3">
      <c r="A75" s="5" t="str">
        <f>IF(ISBLANK(C75),"",VLOOKUP(C75,'Database - Contacts'!$A$2:$D$7708,2,FALSE))</f>
        <v/>
      </c>
      <c r="B75" s="5" t="str">
        <f>IF(ISBLANK(C75),"",VLOOKUP(C75,'Database - Contacts'!$A$2:$D$7708,3,FALSE))</f>
        <v/>
      </c>
      <c r="C75" s="6"/>
      <c r="D75" s="5" t="str">
        <f>IF(ISBLANK(C75),"",VLOOKUP(C75,'Database - Contacts'!$A$2:$D$7708,4,FALSE))</f>
        <v/>
      </c>
      <c r="E75" s="8"/>
      <c r="G75" s="8"/>
      <c r="H75">
        <v>2025</v>
      </c>
      <c r="I75" t="str">
        <f t="shared" si="1"/>
        <v>2025</v>
      </c>
    </row>
    <row r="76" spans="1:9" x14ac:dyDescent="0.3">
      <c r="A76" s="5" t="str">
        <f>IF(ISBLANK(C76),"",VLOOKUP(C76,'Database - Contacts'!$A$2:$D$7708,2,FALSE))</f>
        <v/>
      </c>
      <c r="B76" s="5" t="str">
        <f>IF(ISBLANK(C76),"",VLOOKUP(C76,'Database - Contacts'!$A$2:$D$7708,3,FALSE))</f>
        <v/>
      </c>
      <c r="C76" s="6"/>
      <c r="D76" s="5" t="str">
        <f>IF(ISBLANK(C76),"",VLOOKUP(C76,'Database - Contacts'!$A$2:$D$7708,4,FALSE))</f>
        <v/>
      </c>
      <c r="E76" s="8"/>
      <c r="G76" s="8"/>
      <c r="H76">
        <v>2025</v>
      </c>
      <c r="I76" t="str">
        <f t="shared" si="1"/>
        <v>2025</v>
      </c>
    </row>
    <row r="77" spans="1:9" x14ac:dyDescent="0.3">
      <c r="A77" s="5" t="str">
        <f>IF(ISBLANK(C77),"",VLOOKUP(C77,'Database - Contacts'!$A$2:$D$7708,2,FALSE))</f>
        <v/>
      </c>
      <c r="B77" s="5" t="str">
        <f>IF(ISBLANK(C77),"",VLOOKUP(C77,'Database - Contacts'!$A$2:$D$7708,3,FALSE))</f>
        <v/>
      </c>
      <c r="C77" s="6"/>
      <c r="D77" s="5" t="str">
        <f>IF(ISBLANK(C77),"",VLOOKUP(C77,'Database - Contacts'!$A$2:$D$7708,4,FALSE))</f>
        <v/>
      </c>
      <c r="E77" s="8"/>
      <c r="G77" s="8"/>
      <c r="H77">
        <v>2025</v>
      </c>
      <c r="I77" t="str">
        <f t="shared" si="1"/>
        <v>2025</v>
      </c>
    </row>
    <row r="78" spans="1:9" x14ac:dyDescent="0.3">
      <c r="A78" s="5" t="str">
        <f>IF(ISBLANK(C78),"",VLOOKUP(C78,'Database - Contacts'!$A$2:$D$7708,2,FALSE))</f>
        <v/>
      </c>
      <c r="B78" s="5" t="str">
        <f>IF(ISBLANK(C78),"",VLOOKUP(C78,'Database - Contacts'!$A$2:$D$7708,3,FALSE))</f>
        <v/>
      </c>
      <c r="C78" s="6"/>
      <c r="D78" s="5" t="str">
        <f>IF(ISBLANK(C78),"",VLOOKUP(C78,'Database - Contacts'!$A$2:$D$7708,4,FALSE))</f>
        <v/>
      </c>
      <c r="E78" s="8"/>
      <c r="G78" s="8"/>
      <c r="H78">
        <v>2025</v>
      </c>
      <c r="I78" t="str">
        <f t="shared" si="1"/>
        <v>2025</v>
      </c>
    </row>
    <row r="79" spans="1:9" x14ac:dyDescent="0.3">
      <c r="A79" s="5" t="str">
        <f>IF(ISBLANK(C79),"",VLOOKUP(C79,'Database - Contacts'!$A$2:$D$7708,2,FALSE))</f>
        <v/>
      </c>
      <c r="B79" s="5" t="str">
        <f>IF(ISBLANK(C79),"",VLOOKUP(C79,'Database - Contacts'!$A$2:$D$7708,3,FALSE))</f>
        <v/>
      </c>
      <c r="C79" s="6"/>
      <c r="D79" s="5" t="str">
        <f>IF(ISBLANK(C79),"",VLOOKUP(C79,'Database - Contacts'!$A$2:$D$7708,4,FALSE))</f>
        <v/>
      </c>
      <c r="E79" s="8"/>
      <c r="G79" s="8"/>
      <c r="H79">
        <v>2025</v>
      </c>
      <c r="I79" t="str">
        <f t="shared" si="1"/>
        <v>2025</v>
      </c>
    </row>
    <row r="80" spans="1:9" x14ac:dyDescent="0.3">
      <c r="A80" s="5" t="str">
        <f>IF(ISBLANK(C80),"",VLOOKUP(C80,'Database - Contacts'!$A$2:$D$7708,2,FALSE))</f>
        <v/>
      </c>
      <c r="B80" s="5" t="str">
        <f>IF(ISBLANK(C80),"",VLOOKUP(C80,'Database - Contacts'!$A$2:$D$7708,3,FALSE))</f>
        <v/>
      </c>
      <c r="C80" s="6"/>
      <c r="D80" s="5" t="str">
        <f>IF(ISBLANK(C80),"",VLOOKUP(C80,'Database - Contacts'!$A$2:$D$7708,4,FALSE))</f>
        <v/>
      </c>
      <c r="E80" s="8"/>
      <c r="G80" s="8"/>
      <c r="H80">
        <v>2025</v>
      </c>
      <c r="I80" t="str">
        <f t="shared" si="1"/>
        <v>2025</v>
      </c>
    </row>
    <row r="81" spans="1:9" x14ac:dyDescent="0.3">
      <c r="A81" s="5" t="str">
        <f>IF(ISBLANK(C81),"",VLOOKUP(C81,'Database - Contacts'!$A$2:$D$7708,2,FALSE))</f>
        <v/>
      </c>
      <c r="B81" s="5" t="str">
        <f>IF(ISBLANK(C81),"",VLOOKUP(C81,'Database - Contacts'!$A$2:$D$7708,3,FALSE))</f>
        <v/>
      </c>
      <c r="C81" s="6"/>
      <c r="D81" s="5" t="str">
        <f>IF(ISBLANK(C81),"",VLOOKUP(C81,'Database - Contacts'!$A$2:$D$7708,4,FALSE))</f>
        <v/>
      </c>
      <c r="E81" s="8"/>
      <c r="G81" s="8"/>
      <c r="H81">
        <v>2025</v>
      </c>
      <c r="I81" t="str">
        <f t="shared" si="1"/>
        <v>2025</v>
      </c>
    </row>
    <row r="82" spans="1:9" x14ac:dyDescent="0.3">
      <c r="A82" s="5" t="str">
        <f>IF(ISBLANK(C82),"",VLOOKUP(C82,'Database - Contacts'!$A$2:$D$7708,2,FALSE))</f>
        <v/>
      </c>
      <c r="B82" s="5" t="str">
        <f>IF(ISBLANK(C82),"",VLOOKUP(C82,'Database - Contacts'!$A$2:$D$7708,3,FALSE))</f>
        <v/>
      </c>
      <c r="C82" s="6"/>
      <c r="D82" s="5" t="str">
        <f>IF(ISBLANK(C82),"",VLOOKUP(C82,'Database - Contacts'!$A$2:$D$7708,4,FALSE))</f>
        <v/>
      </c>
      <c r="E82" s="8"/>
      <c r="G82" s="8"/>
      <c r="H82">
        <v>2025</v>
      </c>
      <c r="I82" t="str">
        <f t="shared" si="1"/>
        <v>2025</v>
      </c>
    </row>
    <row r="83" spans="1:9" x14ac:dyDescent="0.3">
      <c r="A83" s="5" t="str">
        <f>IF(ISBLANK(C83),"",VLOOKUP(C83,'Database - Contacts'!$A$2:$D$7708,2,FALSE))</f>
        <v/>
      </c>
      <c r="B83" s="5" t="str">
        <f>IF(ISBLANK(C83),"",VLOOKUP(C83,'Database - Contacts'!$A$2:$D$7708,3,FALSE))</f>
        <v/>
      </c>
      <c r="C83" s="6"/>
      <c r="D83" s="5" t="str">
        <f>IF(ISBLANK(C83),"",VLOOKUP(C83,'Database - Contacts'!$A$2:$D$7708,4,FALSE))</f>
        <v/>
      </c>
      <c r="E83" s="8"/>
      <c r="G83" s="8"/>
      <c r="H83">
        <v>2025</v>
      </c>
      <c r="I83" t="str">
        <f t="shared" si="1"/>
        <v>2025</v>
      </c>
    </row>
    <row r="84" spans="1:9" x14ac:dyDescent="0.3">
      <c r="A84" s="5" t="str">
        <f>IF(ISBLANK(C84),"",VLOOKUP(C84,'Database - Contacts'!$A$2:$D$7708,2,FALSE))</f>
        <v/>
      </c>
      <c r="B84" s="5" t="str">
        <f>IF(ISBLANK(C84),"",VLOOKUP(C84,'Database - Contacts'!$A$2:$D$7708,3,FALSE))</f>
        <v/>
      </c>
      <c r="C84" s="6"/>
      <c r="D84" s="5" t="str">
        <f>IF(ISBLANK(C84),"",VLOOKUP(C84,'Database - Contacts'!$A$2:$D$7708,4,FALSE))</f>
        <v/>
      </c>
      <c r="E84" s="8"/>
      <c r="G84" s="8"/>
      <c r="H84">
        <v>2025</v>
      </c>
      <c r="I84" t="str">
        <f t="shared" si="1"/>
        <v>2025</v>
      </c>
    </row>
    <row r="85" spans="1:9" x14ac:dyDescent="0.3">
      <c r="A85" s="5" t="str">
        <f>IF(ISBLANK(C85),"",VLOOKUP(C85,'Database - Contacts'!$A$2:$D$7708,2,FALSE))</f>
        <v/>
      </c>
      <c r="B85" s="5" t="str">
        <f>IF(ISBLANK(C85),"",VLOOKUP(C85,'Database - Contacts'!$A$2:$D$7708,3,FALSE))</f>
        <v/>
      </c>
      <c r="C85" s="6"/>
      <c r="D85" s="5" t="str">
        <f>IF(ISBLANK(C85),"",VLOOKUP(C85,'Database - Contacts'!$A$2:$D$7708,4,FALSE))</f>
        <v/>
      </c>
      <c r="E85" s="8"/>
      <c r="G85" s="8"/>
      <c r="H85">
        <v>2025</v>
      </c>
      <c r="I85" t="str">
        <f t="shared" si="1"/>
        <v>2025</v>
      </c>
    </row>
    <row r="86" spans="1:9" x14ac:dyDescent="0.3">
      <c r="A86" s="5" t="str">
        <f>IF(ISBLANK(C86),"",VLOOKUP(C86,'Database - Contacts'!$A$2:$D$7708,2,FALSE))</f>
        <v/>
      </c>
      <c r="B86" s="5" t="str">
        <f>IF(ISBLANK(C86),"",VLOOKUP(C86,'Database - Contacts'!$A$2:$D$7708,3,FALSE))</f>
        <v/>
      </c>
      <c r="C86" s="6"/>
      <c r="D86" s="5" t="str">
        <f>IF(ISBLANK(C86),"",VLOOKUP(C86,'Database - Contacts'!$A$2:$D$7708,4,FALSE))</f>
        <v/>
      </c>
      <c r="E86" s="8"/>
      <c r="G86" s="8"/>
      <c r="H86">
        <v>2025</v>
      </c>
      <c r="I86" t="str">
        <f t="shared" si="1"/>
        <v>2025</v>
      </c>
    </row>
    <row r="87" spans="1:9" x14ac:dyDescent="0.3">
      <c r="A87" s="5" t="str">
        <f>IF(ISBLANK(C87),"",VLOOKUP(C87,'Database - Contacts'!$A$2:$D$7708,2,FALSE))</f>
        <v/>
      </c>
      <c r="B87" s="5" t="str">
        <f>IF(ISBLANK(C87),"",VLOOKUP(C87,'Database - Contacts'!$A$2:$D$7708,3,FALSE))</f>
        <v/>
      </c>
      <c r="C87" s="6"/>
      <c r="D87" s="5" t="str">
        <f>IF(ISBLANK(C87),"",VLOOKUP(C87,'Database - Contacts'!$A$2:$D$7708,4,FALSE))</f>
        <v/>
      </c>
      <c r="E87" s="8"/>
      <c r="G87" s="8"/>
      <c r="H87">
        <v>2025</v>
      </c>
      <c r="I87" t="str">
        <f t="shared" si="1"/>
        <v>2025</v>
      </c>
    </row>
    <row r="88" spans="1:9" x14ac:dyDescent="0.3">
      <c r="A88" s="5" t="str">
        <f>IF(ISBLANK(C88),"",VLOOKUP(C88,'Database - Contacts'!$A$2:$D$7708,2,FALSE))</f>
        <v/>
      </c>
      <c r="B88" s="5" t="str">
        <f>IF(ISBLANK(C88),"",VLOOKUP(C88,'Database - Contacts'!$A$2:$D$7708,3,FALSE))</f>
        <v/>
      </c>
      <c r="C88" s="6"/>
      <c r="D88" s="5" t="str">
        <f>IF(ISBLANK(C88),"",VLOOKUP(C88,'Database - Contacts'!$A$2:$D$7708,4,FALSE))</f>
        <v/>
      </c>
      <c r="E88" s="8"/>
      <c r="G88" s="8"/>
      <c r="H88">
        <v>2025</v>
      </c>
      <c r="I88" t="str">
        <f t="shared" si="1"/>
        <v>2025</v>
      </c>
    </row>
    <row r="89" spans="1:9" x14ac:dyDescent="0.3">
      <c r="A89" s="5" t="str">
        <f>IF(ISBLANK(C89),"",VLOOKUP(C89,'Database - Contacts'!$A$2:$D$7708,2,FALSE))</f>
        <v/>
      </c>
      <c r="B89" s="5" t="str">
        <f>IF(ISBLANK(C89),"",VLOOKUP(C89,'Database - Contacts'!$A$2:$D$7708,3,FALSE))</f>
        <v/>
      </c>
      <c r="C89" s="6"/>
      <c r="D89" s="5" t="str">
        <f>IF(ISBLANK(C89),"",VLOOKUP(C89,'Database - Contacts'!$A$2:$D$7708,4,FALSE))</f>
        <v/>
      </c>
      <c r="E89" s="8"/>
      <c r="G89" s="8"/>
      <c r="H89">
        <v>2025</v>
      </c>
      <c r="I89" t="str">
        <f t="shared" si="1"/>
        <v>2025</v>
      </c>
    </row>
    <row r="90" spans="1:9" x14ac:dyDescent="0.3">
      <c r="A90" s="5" t="str">
        <f>IF(ISBLANK(C90),"",VLOOKUP(C90,'Database - Contacts'!$A$2:$D$7708,2,FALSE))</f>
        <v/>
      </c>
      <c r="B90" s="5" t="str">
        <f>IF(ISBLANK(C90),"",VLOOKUP(C90,'Database - Contacts'!$A$2:$D$7708,3,FALSE))</f>
        <v/>
      </c>
      <c r="C90" s="6"/>
      <c r="D90" s="5" t="str">
        <f>IF(ISBLANK(C90),"",VLOOKUP(C90,'Database - Contacts'!$A$2:$D$7708,4,FALSE))</f>
        <v/>
      </c>
      <c r="E90" s="8"/>
      <c r="G90" s="8"/>
      <c r="H90">
        <v>2025</v>
      </c>
      <c r="I90" t="str">
        <f t="shared" si="1"/>
        <v>2025</v>
      </c>
    </row>
    <row r="91" spans="1:9" x14ac:dyDescent="0.3">
      <c r="A91" s="5" t="str">
        <f>IF(ISBLANK(C91),"",VLOOKUP(C91,'Database - Contacts'!$A$2:$D$7708,2,FALSE))</f>
        <v/>
      </c>
      <c r="B91" s="5" t="str">
        <f>IF(ISBLANK(C91),"",VLOOKUP(C91,'Database - Contacts'!$A$2:$D$7708,3,FALSE))</f>
        <v/>
      </c>
      <c r="C91" s="6"/>
      <c r="D91" s="5" t="str">
        <f>IF(ISBLANK(C91),"",VLOOKUP(C91,'Database - Contacts'!$A$2:$D$7708,4,FALSE))</f>
        <v/>
      </c>
      <c r="E91" s="8"/>
      <c r="G91" s="8"/>
      <c r="H91">
        <v>2025</v>
      </c>
      <c r="I91" t="str">
        <f t="shared" si="1"/>
        <v>2025</v>
      </c>
    </row>
    <row r="92" spans="1:9" x14ac:dyDescent="0.3">
      <c r="A92" s="5" t="str">
        <f>IF(ISBLANK(C92),"",VLOOKUP(C92,'Database - Contacts'!$A$2:$D$7708,2,FALSE))</f>
        <v/>
      </c>
      <c r="B92" s="5" t="str">
        <f>IF(ISBLANK(C92),"",VLOOKUP(C92,'Database - Contacts'!$A$2:$D$7708,3,FALSE))</f>
        <v/>
      </c>
      <c r="C92" s="6"/>
      <c r="D92" s="5" t="str">
        <f>IF(ISBLANK(C92),"",VLOOKUP(C92,'Database - Contacts'!$A$2:$D$7708,4,FALSE))</f>
        <v/>
      </c>
      <c r="E92" s="8"/>
      <c r="G92" s="8"/>
      <c r="H92">
        <v>2025</v>
      </c>
      <c r="I92" t="str">
        <f t="shared" si="1"/>
        <v>2025</v>
      </c>
    </row>
    <row r="93" spans="1:9" x14ac:dyDescent="0.3">
      <c r="A93" s="5" t="str">
        <f>IF(ISBLANK(C93),"",VLOOKUP(C93,'Database - Contacts'!$A$2:$D$7708,2,FALSE))</f>
        <v/>
      </c>
      <c r="B93" s="5" t="str">
        <f>IF(ISBLANK(C93),"",VLOOKUP(C93,'Database - Contacts'!$A$2:$D$7708,3,FALSE))</f>
        <v/>
      </c>
      <c r="C93" s="6"/>
      <c r="D93" s="5" t="str">
        <f>IF(ISBLANK(C93),"",VLOOKUP(C93,'Database - Contacts'!$A$2:$D$7708,4,FALSE))</f>
        <v/>
      </c>
      <c r="E93" s="8"/>
      <c r="G93" s="8"/>
      <c r="H93">
        <v>2025</v>
      </c>
      <c r="I93" t="str">
        <f t="shared" si="1"/>
        <v>2025</v>
      </c>
    </row>
    <row r="94" spans="1:9" x14ac:dyDescent="0.3">
      <c r="A94" s="5" t="str">
        <f>IF(ISBLANK(C94),"",VLOOKUP(C94,'Database - Contacts'!$A$2:$D$7708,2,FALSE))</f>
        <v/>
      </c>
      <c r="B94" s="5" t="str">
        <f>IF(ISBLANK(C94),"",VLOOKUP(C94,'Database - Contacts'!$A$2:$D$7708,3,FALSE))</f>
        <v/>
      </c>
      <c r="C94" s="6"/>
      <c r="D94" s="5" t="str">
        <f>IF(ISBLANK(C94),"",VLOOKUP(C94,'Database - Contacts'!$A$2:$D$7708,4,FALSE))</f>
        <v/>
      </c>
      <c r="E94" s="8"/>
      <c r="G94" s="8"/>
      <c r="H94">
        <v>2025</v>
      </c>
      <c r="I94" t="str">
        <f t="shared" si="1"/>
        <v>2025</v>
      </c>
    </row>
    <row r="95" spans="1:9" x14ac:dyDescent="0.3">
      <c r="A95" s="5" t="str">
        <f>IF(ISBLANK(C95),"",VLOOKUP(C95,'Database - Contacts'!$A$2:$D$7708,2,FALSE))</f>
        <v/>
      </c>
      <c r="B95" s="5" t="str">
        <f>IF(ISBLANK(C95),"",VLOOKUP(C95,'Database - Contacts'!$A$2:$D$7708,3,FALSE))</f>
        <v/>
      </c>
      <c r="C95" s="6"/>
      <c r="D95" s="5" t="str">
        <f>IF(ISBLANK(C95),"",VLOOKUP(C95,'Database - Contacts'!$A$2:$D$7708,4,FALSE))</f>
        <v/>
      </c>
      <c r="E95" s="8"/>
      <c r="G95" s="8"/>
      <c r="H95">
        <v>2025</v>
      </c>
      <c r="I95" t="str">
        <f t="shared" si="1"/>
        <v>2025</v>
      </c>
    </row>
    <row r="96" spans="1:9" x14ac:dyDescent="0.3">
      <c r="A96" s="5" t="str">
        <f>IF(ISBLANK(C96),"",VLOOKUP(C96,'Database - Contacts'!$A$2:$D$7708,2,FALSE))</f>
        <v/>
      </c>
      <c r="B96" s="5" t="str">
        <f>IF(ISBLANK(C96),"",VLOOKUP(C96,'Database - Contacts'!$A$2:$D$7708,3,FALSE))</f>
        <v/>
      </c>
      <c r="C96" s="6"/>
      <c r="D96" s="5" t="str">
        <f>IF(ISBLANK(C96),"",VLOOKUP(C96,'Database - Contacts'!$A$2:$D$7708,4,FALSE))</f>
        <v/>
      </c>
      <c r="E96" s="8"/>
      <c r="G96" s="8"/>
      <c r="H96">
        <v>2025</v>
      </c>
      <c r="I96" t="str">
        <f t="shared" si="1"/>
        <v>2025</v>
      </c>
    </row>
    <row r="97" spans="1:9" x14ac:dyDescent="0.3">
      <c r="A97" s="5" t="str">
        <f>IF(ISBLANK(C97),"",VLOOKUP(C97,'Database - Contacts'!$A$2:$D$7708,2,FALSE))</f>
        <v/>
      </c>
      <c r="B97" s="5" t="str">
        <f>IF(ISBLANK(C97),"",VLOOKUP(C97,'Database - Contacts'!$A$2:$D$7708,3,FALSE))</f>
        <v/>
      </c>
      <c r="C97" s="6"/>
      <c r="D97" s="5" t="str">
        <f>IF(ISBLANK(C97),"",VLOOKUP(C97,'Database - Contacts'!$A$2:$D$7708,4,FALSE))</f>
        <v/>
      </c>
      <c r="E97" s="8"/>
      <c r="G97" s="8"/>
      <c r="H97">
        <v>2025</v>
      </c>
      <c r="I97" t="str">
        <f t="shared" si="1"/>
        <v>2025</v>
      </c>
    </row>
    <row r="98" spans="1:9" x14ac:dyDescent="0.3">
      <c r="A98" s="5" t="str">
        <f>IF(ISBLANK(C98),"",VLOOKUP(C98,'Database - Contacts'!$A$2:$D$7708,2,FALSE))</f>
        <v/>
      </c>
      <c r="B98" s="5" t="str">
        <f>IF(ISBLANK(C98),"",VLOOKUP(C98,'Database - Contacts'!$A$2:$D$7708,3,FALSE))</f>
        <v/>
      </c>
      <c r="C98" s="6"/>
      <c r="D98" s="5" t="str">
        <f>IF(ISBLANK(C98),"",VLOOKUP(C98,'Database - Contacts'!$A$2:$D$7708,4,FALSE))</f>
        <v/>
      </c>
      <c r="E98" s="8"/>
      <c r="G98" s="8"/>
      <c r="H98">
        <v>2025</v>
      </c>
      <c r="I98" t="str">
        <f t="shared" si="1"/>
        <v>2025</v>
      </c>
    </row>
    <row r="99" spans="1:9" x14ac:dyDescent="0.3">
      <c r="A99" s="5" t="str">
        <f>IF(ISBLANK(C99),"",VLOOKUP(C99,'Database - Contacts'!$A$2:$D$7708,2,FALSE))</f>
        <v/>
      </c>
      <c r="B99" s="5" t="str">
        <f>IF(ISBLANK(C99),"",VLOOKUP(C99,'Database - Contacts'!$A$2:$D$7708,3,FALSE))</f>
        <v/>
      </c>
      <c r="C99" s="6"/>
      <c r="D99" s="5" t="str">
        <f>IF(ISBLANK(C99),"",VLOOKUP(C99,'Database - Contacts'!$A$2:$D$7708,4,FALSE))</f>
        <v/>
      </c>
      <c r="E99" s="8"/>
      <c r="G99" s="8"/>
      <c r="H99">
        <v>2025</v>
      </c>
      <c r="I99" t="str">
        <f t="shared" si="1"/>
        <v>2025</v>
      </c>
    </row>
    <row r="100" spans="1:9" x14ac:dyDescent="0.3">
      <c r="A100" s="5" t="str">
        <f>IF(ISBLANK(C100),"",VLOOKUP(C100,'Database - Contacts'!$A$2:$D$7708,2,FALSE))</f>
        <v/>
      </c>
      <c r="B100" s="5" t="str">
        <f>IF(ISBLANK(C100),"",VLOOKUP(C100,'Database - Contacts'!$A$2:$D$7708,3,FALSE))</f>
        <v/>
      </c>
      <c r="C100" s="6"/>
      <c r="D100" s="5" t="str">
        <f>IF(ISBLANK(C100),"",VLOOKUP(C100,'Database - Contacts'!$A$2:$D$7708,4,FALSE))</f>
        <v/>
      </c>
      <c r="E100" s="8"/>
      <c r="G100" s="8"/>
      <c r="H100">
        <v>2025</v>
      </c>
      <c r="I100" t="str">
        <f t="shared" si="1"/>
        <v>2025</v>
      </c>
    </row>
    <row r="101" spans="1:9" x14ac:dyDescent="0.3">
      <c r="A101" s="5" t="str">
        <f>IF(ISBLANK(C101),"",VLOOKUP(C101,'Database - Contacts'!$A$2:$D$7708,2,FALSE))</f>
        <v/>
      </c>
      <c r="B101" s="5" t="str">
        <f>IF(ISBLANK(C101),"",VLOOKUP(C101,'Database - Contacts'!$A$2:$D$7708,3,FALSE))</f>
        <v/>
      </c>
      <c r="C101" s="6"/>
      <c r="D101" s="5" t="str">
        <f>IF(ISBLANK(C101),"",VLOOKUP(C101,'Database - Contacts'!$A$2:$D$7708,4,FALSE))</f>
        <v/>
      </c>
      <c r="E101" s="8"/>
      <c r="G101" s="8"/>
      <c r="H101">
        <v>2025</v>
      </c>
      <c r="I101" t="str">
        <f t="shared" si="1"/>
        <v>2025</v>
      </c>
    </row>
    <row r="102" spans="1:9" x14ac:dyDescent="0.3">
      <c r="A102" s="5" t="str">
        <f>IF(ISBLANK(C102),"",VLOOKUP(C102,'Database - Contacts'!$A$2:$D$7708,2,FALSE))</f>
        <v/>
      </c>
      <c r="B102" s="5" t="str">
        <f>IF(ISBLANK(C102),"",VLOOKUP(C102,'Database - Contacts'!$A$2:$D$7708,3,FALSE))</f>
        <v/>
      </c>
      <c r="C102" s="6"/>
      <c r="D102" s="5" t="str">
        <f>IF(ISBLANK(C102),"",VLOOKUP(C102,'Database - Contacts'!$A$2:$D$7708,4,FALSE))</f>
        <v/>
      </c>
      <c r="E102" s="8"/>
      <c r="G102" s="8"/>
      <c r="H102">
        <v>2025</v>
      </c>
      <c r="I102" t="str">
        <f t="shared" si="1"/>
        <v>2025</v>
      </c>
    </row>
    <row r="103" spans="1:9" x14ac:dyDescent="0.3">
      <c r="A103" s="5" t="str">
        <f>IF(ISBLANK(C103),"",VLOOKUP(C103,'Database - Contacts'!$A$2:$D$7708,2,FALSE))</f>
        <v/>
      </c>
      <c r="B103" s="5" t="str">
        <f>IF(ISBLANK(C103),"",VLOOKUP(C103,'Database - Contacts'!$A$2:$D$7708,3,FALSE))</f>
        <v/>
      </c>
      <c r="C103" s="6"/>
      <c r="D103" s="5" t="str">
        <f>IF(ISBLANK(C103),"",VLOOKUP(C103,'Database - Contacts'!$A$2:$D$7708,4,FALSE))</f>
        <v/>
      </c>
      <c r="E103" s="8"/>
      <c r="G103" s="8"/>
      <c r="H103">
        <v>2025</v>
      </c>
      <c r="I103" t="str">
        <f t="shared" si="1"/>
        <v>2025</v>
      </c>
    </row>
    <row r="104" spans="1:9" x14ac:dyDescent="0.3">
      <c r="A104" s="5" t="str">
        <f>IF(ISBLANK(C104),"",VLOOKUP(C104,'Database - Contacts'!$A$2:$D$7708,2,FALSE))</f>
        <v/>
      </c>
      <c r="B104" s="5" t="str">
        <f>IF(ISBLANK(C104),"",VLOOKUP(C104,'Database - Contacts'!$A$2:$D$7708,3,FALSE))</f>
        <v/>
      </c>
      <c r="C104" s="6"/>
      <c r="D104" s="5" t="str">
        <f>IF(ISBLANK(C104),"",VLOOKUP(C104,'Database - Contacts'!$A$2:$D$7708,4,FALSE))</f>
        <v/>
      </c>
      <c r="E104" s="8"/>
      <c r="G104" s="8"/>
      <c r="H104">
        <v>2025</v>
      </c>
      <c r="I104" t="str">
        <f t="shared" si="1"/>
        <v>2025</v>
      </c>
    </row>
    <row r="105" spans="1:9" x14ac:dyDescent="0.3">
      <c r="A105" s="5" t="str">
        <f>IF(ISBLANK(C105),"",VLOOKUP(C105,'Database - Contacts'!$A$2:$D$7708,2,FALSE))</f>
        <v/>
      </c>
      <c r="B105" s="5" t="str">
        <f>IF(ISBLANK(C105),"",VLOOKUP(C105,'Database - Contacts'!$A$2:$D$7708,3,FALSE))</f>
        <v/>
      </c>
      <c r="C105" s="6"/>
      <c r="D105" s="5" t="str">
        <f>IF(ISBLANK(C105),"",VLOOKUP(C105,'Database - Contacts'!$A$2:$D$7708,4,FALSE))</f>
        <v/>
      </c>
      <c r="E105" s="8"/>
      <c r="G105" s="8"/>
      <c r="H105">
        <v>2025</v>
      </c>
      <c r="I105" t="str">
        <f t="shared" si="1"/>
        <v>2025</v>
      </c>
    </row>
    <row r="106" spans="1:9" x14ac:dyDescent="0.3">
      <c r="A106" s="5" t="str">
        <f>IF(ISBLANK(C106),"",VLOOKUP(C106,'Database - Contacts'!$A$2:$D$7708,2,FALSE))</f>
        <v/>
      </c>
      <c r="B106" s="5" t="str">
        <f>IF(ISBLANK(C106),"",VLOOKUP(C106,'Database - Contacts'!$A$2:$D$7708,3,FALSE))</f>
        <v/>
      </c>
      <c r="C106" s="6"/>
      <c r="D106" s="5" t="str">
        <f>IF(ISBLANK(C106),"",VLOOKUP(C106,'Database - Contacts'!$A$2:$D$7708,4,FALSE))</f>
        <v/>
      </c>
      <c r="E106" s="8"/>
      <c r="G106" s="8"/>
      <c r="H106">
        <v>2025</v>
      </c>
      <c r="I106" t="str">
        <f t="shared" si="1"/>
        <v>2025</v>
      </c>
    </row>
    <row r="107" spans="1:9" x14ac:dyDescent="0.3">
      <c r="A107" s="5" t="str">
        <f>IF(ISBLANK(C107),"",VLOOKUP(C107,'Database - Contacts'!$A$2:$D$7708,2,FALSE))</f>
        <v/>
      </c>
      <c r="B107" s="5" t="str">
        <f>IF(ISBLANK(C107),"",VLOOKUP(C107,'Database - Contacts'!$A$2:$D$7708,3,FALSE))</f>
        <v/>
      </c>
      <c r="C107" s="6"/>
      <c r="D107" s="5" t="str">
        <f>IF(ISBLANK(C107),"",VLOOKUP(C107,'Database - Contacts'!$A$2:$D$7708,4,FALSE))</f>
        <v/>
      </c>
      <c r="E107" s="8"/>
      <c r="G107" s="8"/>
      <c r="H107">
        <v>2025</v>
      </c>
      <c r="I107" t="str">
        <f t="shared" si="1"/>
        <v>2025</v>
      </c>
    </row>
    <row r="108" spans="1:9" x14ac:dyDescent="0.3">
      <c r="A108" s="5" t="str">
        <f>IF(ISBLANK(C108),"",VLOOKUP(C108,'Database - Contacts'!$A$2:$D$7708,2,FALSE))</f>
        <v/>
      </c>
      <c r="B108" s="5" t="str">
        <f>IF(ISBLANK(C108),"",VLOOKUP(C108,'Database - Contacts'!$A$2:$D$7708,3,FALSE))</f>
        <v/>
      </c>
      <c r="C108" s="6"/>
      <c r="D108" s="5" t="str">
        <f>IF(ISBLANK(C108),"",VLOOKUP(C108,'Database - Contacts'!$A$2:$D$7708,4,FALSE))</f>
        <v/>
      </c>
      <c r="E108" s="8"/>
      <c r="G108" s="8"/>
      <c r="H108">
        <v>2025</v>
      </c>
      <c r="I108" t="str">
        <f t="shared" si="1"/>
        <v>2025</v>
      </c>
    </row>
    <row r="109" spans="1:9" x14ac:dyDescent="0.3">
      <c r="A109" s="5" t="str">
        <f>IF(ISBLANK(C109),"",VLOOKUP(C109,'Database - Contacts'!$A$2:$D$7708,2,FALSE))</f>
        <v/>
      </c>
      <c r="B109" s="5" t="str">
        <f>IF(ISBLANK(C109),"",VLOOKUP(C109,'Database - Contacts'!$A$2:$D$7708,3,FALSE))</f>
        <v/>
      </c>
      <c r="C109" s="6"/>
      <c r="D109" s="5" t="str">
        <f>IF(ISBLANK(C109),"",VLOOKUP(C109,'Database - Contacts'!$A$2:$D$7708,4,FALSE))</f>
        <v/>
      </c>
      <c r="E109" s="8"/>
      <c r="G109" s="8"/>
      <c r="H109">
        <v>2025</v>
      </c>
      <c r="I109" t="str">
        <f t="shared" si="1"/>
        <v>2025</v>
      </c>
    </row>
    <row r="110" spans="1:9" x14ac:dyDescent="0.3">
      <c r="A110" s="5" t="str">
        <f>IF(ISBLANK(C110),"",VLOOKUP(C110,'Database - Contacts'!$A$2:$D$7708,2,FALSE))</f>
        <v/>
      </c>
      <c r="B110" s="5" t="str">
        <f>IF(ISBLANK(C110),"",VLOOKUP(C110,'Database - Contacts'!$A$2:$D$7708,3,FALSE))</f>
        <v/>
      </c>
      <c r="C110" s="6"/>
      <c r="D110" s="5" t="str">
        <f>IF(ISBLANK(C110),"",VLOOKUP(C110,'Database - Contacts'!$A$2:$D$7708,4,FALSE))</f>
        <v/>
      </c>
      <c r="E110" s="8"/>
      <c r="G110" s="8"/>
      <c r="H110">
        <v>2025</v>
      </c>
      <c r="I110" t="str">
        <f t="shared" si="1"/>
        <v>2025</v>
      </c>
    </row>
    <row r="111" spans="1:9" x14ac:dyDescent="0.3">
      <c r="A111" s="5" t="str">
        <f>IF(ISBLANK(C111),"",VLOOKUP(C111,'Database - Contacts'!$A$2:$D$7708,2,FALSE))</f>
        <v/>
      </c>
      <c r="B111" s="5" t="str">
        <f>IF(ISBLANK(C111),"",VLOOKUP(C111,'Database - Contacts'!$A$2:$D$7708,3,FALSE))</f>
        <v/>
      </c>
      <c r="C111" s="6"/>
      <c r="D111" s="5" t="str">
        <f>IF(ISBLANK(C111),"",VLOOKUP(C111,'Database - Contacts'!$A$2:$D$7708,4,FALSE))</f>
        <v/>
      </c>
      <c r="E111" s="8"/>
      <c r="G111" s="8"/>
      <c r="H111">
        <v>2025</v>
      </c>
      <c r="I111" t="str">
        <f t="shared" si="1"/>
        <v>2025</v>
      </c>
    </row>
    <row r="112" spans="1:9" x14ac:dyDescent="0.3">
      <c r="A112" s="5" t="str">
        <f>IF(ISBLANK(C112),"",VLOOKUP(C112,'Database - Contacts'!$A$2:$D$7708,2,FALSE))</f>
        <v/>
      </c>
      <c r="B112" s="5" t="str">
        <f>IF(ISBLANK(C112),"",VLOOKUP(C112,'Database - Contacts'!$A$2:$D$7708,3,FALSE))</f>
        <v/>
      </c>
      <c r="C112" s="6"/>
      <c r="D112" s="5" t="str">
        <f>IF(ISBLANK(C112),"",VLOOKUP(C112,'Database - Contacts'!$A$2:$D$7708,4,FALSE))</f>
        <v/>
      </c>
      <c r="E112" s="8"/>
      <c r="G112" s="8"/>
      <c r="H112">
        <v>2025</v>
      </c>
      <c r="I112" t="str">
        <f t="shared" si="1"/>
        <v>2025</v>
      </c>
    </row>
    <row r="113" spans="1:7" x14ac:dyDescent="0.3">
      <c r="A113" s="5" t="str">
        <f>IF(ISBLANK(C113),"",VLOOKUP(C113,'Database - Contacts'!$A$2:$D$7708,2,FALSE))</f>
        <v/>
      </c>
      <c r="B113" s="5" t="str">
        <f>IF(ISBLANK(C113),"",VLOOKUP(C113,'Database - Contacts'!$A$2:$D$7708,3,FALSE))</f>
        <v/>
      </c>
      <c r="C113" s="6"/>
      <c r="D113" s="5" t="str">
        <f>IF(ISBLANK(C113),"",VLOOKUP(C113,'Database - Contacts'!$A$2:$D$7708,4,FALSE))</f>
        <v/>
      </c>
      <c r="E113" s="8"/>
      <c r="G113" s="8"/>
    </row>
    <row r="114" spans="1:7" x14ac:dyDescent="0.3">
      <c r="A114" s="5" t="str">
        <f>IF(ISBLANK(C114),"",VLOOKUP(C114,'Database - Contacts'!$A$2:$D$7708,2,FALSE))</f>
        <v/>
      </c>
      <c r="B114" s="5" t="str">
        <f>IF(ISBLANK(C114),"",VLOOKUP(C114,'Database - Contacts'!$A$2:$D$7708,3,FALSE))</f>
        <v/>
      </c>
      <c r="C114" s="6"/>
      <c r="D114" s="5" t="str">
        <f>IF(ISBLANK(C114),"",VLOOKUP(C114,'Database - Contacts'!$A$2:$D$7708,4,FALSE))</f>
        <v/>
      </c>
      <c r="E114" s="8"/>
      <c r="G114" s="8"/>
    </row>
    <row r="115" spans="1:7" x14ac:dyDescent="0.3">
      <c r="A115" s="5" t="str">
        <f>IF(ISBLANK(C115),"",VLOOKUP(C115,'Database - Contacts'!$A$2:$D$7708,2,FALSE))</f>
        <v/>
      </c>
      <c r="B115" s="5" t="str">
        <f>IF(ISBLANK(C115),"",VLOOKUP(C115,'Database - Contacts'!$A$2:$D$7708,3,FALSE))</f>
        <v/>
      </c>
      <c r="C115" s="6"/>
      <c r="D115" s="5" t="str">
        <f>IF(ISBLANK(C115),"",VLOOKUP(C115,'Database - Contacts'!$A$2:$D$7708,4,FALSE))</f>
        <v/>
      </c>
      <c r="E115" s="8"/>
      <c r="G115" s="8"/>
    </row>
    <row r="116" spans="1:7" x14ac:dyDescent="0.3">
      <c r="A116" s="5" t="str">
        <f>IF(ISBLANK(C116),"",VLOOKUP(C116,'Database - Contacts'!$A$2:$D$7708,2,FALSE))</f>
        <v/>
      </c>
      <c r="B116" s="5" t="str">
        <f>IF(ISBLANK(C116),"",VLOOKUP(C116,'Database - Contacts'!$A$2:$D$7708,3,FALSE))</f>
        <v/>
      </c>
      <c r="C116" s="6"/>
      <c r="D116" s="5" t="str">
        <f>IF(ISBLANK(C116),"",VLOOKUP(C116,'Database - Contacts'!$A$2:$D$7708,4,FALSE))</f>
        <v/>
      </c>
      <c r="E116" s="8"/>
      <c r="G116" s="8"/>
    </row>
    <row r="117" spans="1:7" x14ac:dyDescent="0.3">
      <c r="A117" s="5" t="str">
        <f>IF(ISBLANK(C117),"",VLOOKUP(C117,'Database - Contacts'!$A$2:$D$7708,2,FALSE))</f>
        <v/>
      </c>
      <c r="B117" s="5" t="str">
        <f>IF(ISBLANK(C117),"",VLOOKUP(C117,'Database - Contacts'!$A$2:$D$7708,3,FALSE))</f>
        <v/>
      </c>
      <c r="C117" s="6"/>
      <c r="D117" s="5" t="str">
        <f>IF(ISBLANK(C117),"",VLOOKUP(C117,'Database - Contacts'!$A$2:$D$7708,4,FALSE))</f>
        <v/>
      </c>
      <c r="E117" s="8"/>
      <c r="G117" s="8"/>
    </row>
    <row r="118" spans="1:7" x14ac:dyDescent="0.3">
      <c r="A118" s="5" t="str">
        <f>IF(ISBLANK(C118),"",VLOOKUP(C118,'Database - Contacts'!$A$2:$D$7708,2,FALSE))</f>
        <v/>
      </c>
      <c r="B118" s="5" t="str">
        <f>IF(ISBLANK(C118),"",VLOOKUP(C118,'Database - Contacts'!$A$2:$D$7708,3,FALSE))</f>
        <v/>
      </c>
      <c r="C118" s="6"/>
      <c r="D118" s="5" t="str">
        <f>IF(ISBLANK(C118),"",VLOOKUP(C118,'Database - Contacts'!$A$2:$D$7708,4,FALSE))</f>
        <v/>
      </c>
      <c r="E118" s="8"/>
      <c r="G118" s="8"/>
    </row>
    <row r="119" spans="1:7" x14ac:dyDescent="0.3">
      <c r="A119" s="5" t="str">
        <f>IF(ISBLANK(C119),"",VLOOKUP(C119,'Database - Contacts'!$A$2:$D$7708,2,FALSE))</f>
        <v/>
      </c>
      <c r="B119" s="5" t="str">
        <f>IF(ISBLANK(C119),"",VLOOKUP(C119,'Database - Contacts'!$A$2:$D$7708,3,FALSE))</f>
        <v/>
      </c>
      <c r="C119" s="6"/>
      <c r="D119" s="5" t="str">
        <f>IF(ISBLANK(C119),"",VLOOKUP(C119,'Database - Contacts'!$A$2:$D$7708,4,FALSE))</f>
        <v/>
      </c>
      <c r="E119" s="8"/>
      <c r="G119" s="8"/>
    </row>
    <row r="120" spans="1:7" x14ac:dyDescent="0.3">
      <c r="A120" s="5" t="str">
        <f>IF(ISBLANK(C120),"",VLOOKUP(C120,'Database - Contacts'!$A$2:$D$7708,2,FALSE))</f>
        <v/>
      </c>
      <c r="B120" s="5" t="str">
        <f>IF(ISBLANK(C120),"",VLOOKUP(C120,'Database - Contacts'!$A$2:$D$7708,3,FALSE))</f>
        <v/>
      </c>
      <c r="C120" s="6"/>
      <c r="D120" s="5" t="str">
        <f>IF(ISBLANK(C120),"",VLOOKUP(C120,'Database - Contacts'!$A$2:$D$7708,4,FALSE))</f>
        <v/>
      </c>
      <c r="E120" s="8"/>
      <c r="G120" s="8"/>
    </row>
    <row r="121" spans="1:7" x14ac:dyDescent="0.3">
      <c r="A121" s="5" t="str">
        <f>IF(ISBLANK(C121),"",VLOOKUP(C121,'Database - Contacts'!$A$2:$D$7708,2,FALSE))</f>
        <v/>
      </c>
      <c r="B121" s="5" t="str">
        <f>IF(ISBLANK(C121),"",VLOOKUP(C121,'Database - Contacts'!$A$2:$D$7708,3,FALSE))</f>
        <v/>
      </c>
      <c r="C121" s="6"/>
      <c r="D121" s="5" t="str">
        <f>IF(ISBLANK(C121),"",VLOOKUP(C121,'Database - Contacts'!$A$2:$D$7708,4,FALSE))</f>
        <v/>
      </c>
      <c r="E121" s="8"/>
      <c r="G121" s="8"/>
    </row>
    <row r="122" spans="1:7" x14ac:dyDescent="0.3">
      <c r="A122" s="5" t="str">
        <f>IF(ISBLANK(C122),"",VLOOKUP(C122,'Database - Contacts'!$A$2:$D$7708,2,FALSE))</f>
        <v/>
      </c>
      <c r="B122" s="5" t="str">
        <f>IF(ISBLANK(C122),"",VLOOKUP(C122,'Database - Contacts'!$A$2:$D$7708,3,FALSE))</f>
        <v/>
      </c>
      <c r="C122" s="6"/>
      <c r="D122" s="5" t="str">
        <f>IF(ISBLANK(C122),"",VLOOKUP(C122,'Database - Contacts'!$A$2:$D$7708,4,FALSE))</f>
        <v/>
      </c>
      <c r="E122" s="8"/>
      <c r="G122" s="8"/>
    </row>
    <row r="123" spans="1:7" x14ac:dyDescent="0.3">
      <c r="A123" s="5" t="str">
        <f>IF(ISBLANK(C123),"",VLOOKUP(C123,'Database - Contacts'!$A$2:$D$7708,2,FALSE))</f>
        <v/>
      </c>
      <c r="B123" s="5" t="str">
        <f>IF(ISBLANK(C123),"",VLOOKUP(C123,'Database - Contacts'!$A$2:$D$7708,3,FALSE))</f>
        <v/>
      </c>
      <c r="C123" s="6"/>
      <c r="D123" s="5" t="str">
        <f>IF(ISBLANK(C123),"",VLOOKUP(C123,'Database - Contacts'!$A$2:$D$7708,4,FALSE))</f>
        <v/>
      </c>
      <c r="E123" s="8"/>
      <c r="G123" s="8"/>
    </row>
    <row r="124" spans="1:7" x14ac:dyDescent="0.3">
      <c r="A124" s="5" t="str">
        <f>IF(ISBLANK(C124),"",VLOOKUP(C124,'Database - Contacts'!$A$2:$D$7708,2,FALSE))</f>
        <v/>
      </c>
      <c r="B124" s="5" t="str">
        <f>IF(ISBLANK(C124),"",VLOOKUP(C124,'Database - Contacts'!$A$2:$D$7708,3,FALSE))</f>
        <v/>
      </c>
      <c r="C124" s="6"/>
      <c r="D124" s="5" t="str">
        <f>IF(ISBLANK(C124),"",VLOOKUP(C124,'Database - Contacts'!$A$2:$D$7708,4,FALSE))</f>
        <v/>
      </c>
      <c r="E124" s="8"/>
      <c r="G124" s="8"/>
    </row>
    <row r="125" spans="1:7" x14ac:dyDescent="0.3">
      <c r="A125" s="5" t="str">
        <f>IF(ISBLANK(C125),"",VLOOKUP(C125,'Database - Contacts'!$A$2:$D$7708,2,FALSE))</f>
        <v/>
      </c>
      <c r="B125" s="5" t="str">
        <f>IF(ISBLANK(C125),"",VLOOKUP(C125,'Database - Contacts'!$A$2:$D$7708,3,FALSE))</f>
        <v/>
      </c>
      <c r="C125" s="6"/>
      <c r="D125" s="5" t="str">
        <f>IF(ISBLANK(C125),"",VLOOKUP(C125,'Database - Contacts'!$A$2:$D$7708,4,FALSE))</f>
        <v/>
      </c>
      <c r="E125" s="8"/>
      <c r="G125" s="8"/>
    </row>
    <row r="126" spans="1:7" x14ac:dyDescent="0.3">
      <c r="A126" s="5" t="str">
        <f>IF(ISBLANK(C126),"",VLOOKUP(C126,'Database - Contacts'!$A$2:$D$7708,2,FALSE))</f>
        <v/>
      </c>
      <c r="B126" s="5" t="str">
        <f>IF(ISBLANK(C126),"",VLOOKUP(C126,'Database - Contacts'!$A$2:$D$7708,3,FALSE))</f>
        <v/>
      </c>
      <c r="C126" s="6"/>
      <c r="D126" s="5" t="str">
        <f>IF(ISBLANK(C126),"",VLOOKUP(C126,'Database - Contacts'!$A$2:$D$7708,4,FALSE))</f>
        <v/>
      </c>
      <c r="E126" s="8"/>
      <c r="G126" s="8"/>
    </row>
    <row r="127" spans="1:7" x14ac:dyDescent="0.3">
      <c r="A127" s="5" t="str">
        <f>IF(ISBLANK(C127),"",VLOOKUP(C127,'Database - Contacts'!$A$2:$D$7708,2,FALSE))</f>
        <v/>
      </c>
      <c r="B127" s="5" t="str">
        <f>IF(ISBLANK(C127),"",VLOOKUP(C127,'Database - Contacts'!$A$2:$D$7708,3,FALSE))</f>
        <v/>
      </c>
      <c r="C127" s="6"/>
      <c r="D127" s="5" t="str">
        <f>IF(ISBLANK(C127),"",VLOOKUP(C127,'Database - Contacts'!$A$2:$D$7708,4,FALSE))</f>
        <v/>
      </c>
      <c r="E127" s="8"/>
      <c r="G127" s="8"/>
    </row>
    <row r="128" spans="1:7" x14ac:dyDescent="0.3">
      <c r="A128" s="5" t="str">
        <f>IF(ISBLANK(C128),"",VLOOKUP(C128,'Database - Contacts'!$A$2:$D$7708,2,FALSE))</f>
        <v/>
      </c>
      <c r="B128" s="5" t="str">
        <f>IF(ISBLANK(C128),"",VLOOKUP(C128,'Database - Contacts'!$A$2:$D$7708,3,FALSE))</f>
        <v/>
      </c>
      <c r="C128" s="6"/>
      <c r="D128" s="5" t="str">
        <f>IF(ISBLANK(C128),"",VLOOKUP(C128,'Database - Contacts'!$A$2:$D$7708,4,FALSE))</f>
        <v/>
      </c>
      <c r="E128" s="8"/>
      <c r="G128" s="8"/>
    </row>
    <row r="129" spans="1:7" x14ac:dyDescent="0.3">
      <c r="A129" s="5" t="str">
        <f>IF(ISBLANK(C129),"",VLOOKUP(C129,'Database - Contacts'!$A$2:$D$7708,2,FALSE))</f>
        <v/>
      </c>
      <c r="B129" s="5" t="str">
        <f>IF(ISBLANK(C129),"",VLOOKUP(C129,'Database - Contacts'!$A$2:$D$7708,3,FALSE))</f>
        <v/>
      </c>
      <c r="C129" s="6"/>
      <c r="D129" s="5" t="str">
        <f>IF(ISBLANK(C129),"",VLOOKUP(C129,'Database - Contacts'!$A$2:$D$7708,4,FALSE))</f>
        <v/>
      </c>
      <c r="E129" s="8"/>
      <c r="G129" s="8"/>
    </row>
    <row r="130" spans="1:7" x14ac:dyDescent="0.3">
      <c r="A130" s="5" t="str">
        <f>IF(ISBLANK(C130),"",VLOOKUP(C130,'Database - Contacts'!$A$2:$D$7708,2,FALSE))</f>
        <v/>
      </c>
      <c r="B130" s="5" t="str">
        <f>IF(ISBLANK(C130),"",VLOOKUP(C130,'Database - Contacts'!$A$2:$D$7708,3,FALSE))</f>
        <v/>
      </c>
      <c r="C130" s="6"/>
      <c r="D130" s="5" t="str">
        <f>IF(ISBLANK(C130),"",VLOOKUP(C130,'Database - Contacts'!$A$2:$D$7708,4,FALSE))</f>
        <v/>
      </c>
      <c r="E130" s="8"/>
      <c r="G130" s="8"/>
    </row>
    <row r="131" spans="1:7" x14ac:dyDescent="0.3">
      <c r="A131" s="5" t="str">
        <f>IF(ISBLANK(C131),"",VLOOKUP(C131,'Database - Contacts'!$A$2:$D$7708,2,FALSE))</f>
        <v/>
      </c>
      <c r="B131" s="5" t="str">
        <f>IF(ISBLANK(C131),"",VLOOKUP(C131,'Database - Contacts'!$A$2:$D$7708,3,FALSE))</f>
        <v/>
      </c>
      <c r="C131" s="6"/>
      <c r="D131" s="5" t="str">
        <f>IF(ISBLANK(C131),"",VLOOKUP(C131,'Database - Contacts'!$A$2:$D$7708,4,FALSE))</f>
        <v/>
      </c>
      <c r="E131" s="8"/>
      <c r="G131" s="8"/>
    </row>
    <row r="132" spans="1:7" x14ac:dyDescent="0.3">
      <c r="A132" s="5" t="str">
        <f>IF(ISBLANK(C132),"",VLOOKUP(C132,'Database - Contacts'!$A$2:$D$7708,2,FALSE))</f>
        <v/>
      </c>
      <c r="B132" s="5" t="str">
        <f>IF(ISBLANK(C132),"",VLOOKUP(C132,'Database - Contacts'!$A$2:$D$7708,3,FALSE))</f>
        <v/>
      </c>
      <c r="C132" s="6"/>
      <c r="D132" s="5" t="str">
        <f>IF(ISBLANK(C132),"",VLOOKUP(C132,'Database - Contacts'!$A$2:$D$7708,4,FALSE))</f>
        <v/>
      </c>
      <c r="E132" s="8"/>
      <c r="G132" s="8"/>
    </row>
    <row r="133" spans="1:7" x14ac:dyDescent="0.3">
      <c r="A133" s="5" t="str">
        <f>IF(ISBLANK(C133),"",VLOOKUP(C133,'Database - Contacts'!$A$2:$D$7708,2,FALSE))</f>
        <v/>
      </c>
      <c r="B133" s="5" t="str">
        <f>IF(ISBLANK(C133),"",VLOOKUP(C133,'Database - Contacts'!$A$2:$D$7708,3,FALSE))</f>
        <v/>
      </c>
      <c r="C133" s="6"/>
      <c r="D133" s="5" t="str">
        <f>IF(ISBLANK(C133),"",VLOOKUP(C133,'Database - Contacts'!$A$2:$D$7708,4,FALSE))</f>
        <v/>
      </c>
      <c r="E133" s="8"/>
      <c r="G133" s="8"/>
    </row>
    <row r="134" spans="1:7" x14ac:dyDescent="0.3">
      <c r="A134" s="5" t="str">
        <f>IF(ISBLANK(C134),"",VLOOKUP(C134,'Database - Contacts'!$A$2:$D$7708,2,FALSE))</f>
        <v/>
      </c>
      <c r="B134" s="5" t="str">
        <f>IF(ISBLANK(C134),"",VLOOKUP(C134,'Database - Contacts'!$A$2:$D$7708,3,FALSE))</f>
        <v/>
      </c>
      <c r="C134" s="6"/>
      <c r="D134" s="5" t="str">
        <f>IF(ISBLANK(C134),"",VLOOKUP(C134,'Database - Contacts'!$A$2:$D$7708,4,FALSE))</f>
        <v/>
      </c>
      <c r="E134" s="8"/>
      <c r="G134" s="8"/>
    </row>
    <row r="135" spans="1:7" x14ac:dyDescent="0.3">
      <c r="A135" s="5" t="str">
        <f>IF(ISBLANK(C135),"",VLOOKUP(C135,'Database - Contacts'!$A$2:$D$7708,2,FALSE))</f>
        <v/>
      </c>
      <c r="B135" s="5" t="str">
        <f>IF(ISBLANK(C135),"",VLOOKUP(C135,'Database - Contacts'!$A$2:$D$7708,3,FALSE))</f>
        <v/>
      </c>
      <c r="C135" s="6"/>
      <c r="D135" s="5" t="str">
        <f>IF(ISBLANK(C135),"",VLOOKUP(C135,'Database - Contacts'!$A$2:$D$7708,4,FALSE))</f>
        <v/>
      </c>
      <c r="E135" s="8"/>
      <c r="G135" s="8"/>
    </row>
    <row r="136" spans="1:7" x14ac:dyDescent="0.3">
      <c r="A136" s="5" t="str">
        <f>IF(ISBLANK(C136),"",VLOOKUP(C136,'Database - Contacts'!$A$2:$D$7708,2,FALSE))</f>
        <v/>
      </c>
      <c r="B136" s="5" t="str">
        <f>IF(ISBLANK(C136),"",VLOOKUP(C136,'Database - Contacts'!$A$2:$D$7708,3,FALSE))</f>
        <v/>
      </c>
      <c r="C136" s="6"/>
      <c r="D136" s="5" t="str">
        <f>IF(ISBLANK(C136),"",VLOOKUP(C136,'Database - Contacts'!$A$2:$D$7708,4,FALSE))</f>
        <v/>
      </c>
      <c r="E136" s="8"/>
      <c r="G136" s="8"/>
    </row>
    <row r="137" spans="1:7" x14ac:dyDescent="0.3">
      <c r="A137" s="5" t="str">
        <f>IF(ISBLANK(C137),"",VLOOKUP(C137,'Database - Contacts'!$A$2:$D$7708,2,FALSE))</f>
        <v/>
      </c>
      <c r="B137" s="5" t="str">
        <f>IF(ISBLANK(C137),"",VLOOKUP(C137,'Database - Contacts'!$A$2:$D$7708,3,FALSE))</f>
        <v/>
      </c>
      <c r="C137" s="6"/>
      <c r="D137" s="5" t="str">
        <f>IF(ISBLANK(C137),"",VLOOKUP(C137,'Database - Contacts'!$A$2:$D$7708,4,FALSE))</f>
        <v/>
      </c>
      <c r="E137" s="8"/>
      <c r="G137" s="8"/>
    </row>
    <row r="138" spans="1:7" x14ac:dyDescent="0.3">
      <c r="A138" s="5" t="str">
        <f>IF(ISBLANK(C138),"",VLOOKUP(C138,'Database - Contacts'!$A$2:$D$7708,2,FALSE))</f>
        <v/>
      </c>
      <c r="B138" s="5" t="str">
        <f>IF(ISBLANK(C138),"",VLOOKUP(C138,'Database - Contacts'!$A$2:$D$7708,3,FALSE))</f>
        <v/>
      </c>
      <c r="C138" s="6"/>
      <c r="D138" s="5" t="str">
        <f>IF(ISBLANK(C138),"",VLOOKUP(C138,'Database - Contacts'!$A$2:$D$7708,4,FALSE))</f>
        <v/>
      </c>
      <c r="E138" s="8"/>
      <c r="G138" s="8"/>
    </row>
    <row r="139" spans="1:7" x14ac:dyDescent="0.3">
      <c r="A139" s="5" t="str">
        <f>IF(ISBLANK(C139),"",VLOOKUP(C139,'Database - Contacts'!$A$2:$D$7708,2,FALSE))</f>
        <v/>
      </c>
      <c r="B139" s="5" t="str">
        <f>IF(ISBLANK(C139),"",VLOOKUP(C139,'Database - Contacts'!$A$2:$D$7708,3,FALSE))</f>
        <v/>
      </c>
      <c r="C139" s="6"/>
      <c r="D139" s="5" t="str">
        <f>IF(ISBLANK(C139),"",VLOOKUP(C139,'Database - Contacts'!$A$2:$D$7708,4,FALSE))</f>
        <v/>
      </c>
      <c r="E139" s="8"/>
      <c r="G139" s="8"/>
    </row>
    <row r="140" spans="1:7" x14ac:dyDescent="0.3">
      <c r="A140" s="5" t="str">
        <f>IF(ISBLANK(C140),"",VLOOKUP(C140,'Database - Contacts'!$A$2:$D$7708,2,FALSE))</f>
        <v/>
      </c>
      <c r="B140" s="5" t="str">
        <f>IF(ISBLANK(C140),"",VLOOKUP(C140,'Database - Contacts'!$A$2:$D$7708,3,FALSE))</f>
        <v/>
      </c>
      <c r="C140" s="6"/>
      <c r="D140" s="5" t="str">
        <f>IF(ISBLANK(C140),"",VLOOKUP(C140,'Database - Contacts'!$A$2:$D$7708,4,FALSE))</f>
        <v/>
      </c>
      <c r="E140" s="8"/>
      <c r="G140" s="8"/>
    </row>
    <row r="141" spans="1:7" x14ac:dyDescent="0.3">
      <c r="A141" s="5" t="str">
        <f>IF(ISBLANK(C141),"",VLOOKUP(C141,'Database - Contacts'!$A$2:$D$7708,2,FALSE))</f>
        <v/>
      </c>
      <c r="B141" s="5" t="str">
        <f>IF(ISBLANK(C141),"",VLOOKUP(C141,'Database - Contacts'!$A$2:$D$7708,3,FALSE))</f>
        <v/>
      </c>
      <c r="C141" s="6"/>
      <c r="D141" s="5" t="str">
        <f>IF(ISBLANK(C141),"",VLOOKUP(C141,'Database - Contacts'!$A$2:$D$7708,4,FALSE))</f>
        <v/>
      </c>
      <c r="E141" s="8"/>
      <c r="G141" s="8"/>
    </row>
    <row r="142" spans="1:7" x14ac:dyDescent="0.3">
      <c r="A142" s="5" t="str">
        <f>IF(ISBLANK(C142),"",VLOOKUP(C142,'Database - Contacts'!$A$2:$D$7708,2,FALSE))</f>
        <v/>
      </c>
      <c r="B142" s="5" t="str">
        <f>IF(ISBLANK(C142),"",VLOOKUP(C142,'Database - Contacts'!$A$2:$D$7708,3,FALSE))</f>
        <v/>
      </c>
      <c r="C142" s="6"/>
      <c r="D142" s="5" t="str">
        <f>IF(ISBLANK(C142),"",VLOOKUP(C142,'Database - Contacts'!$A$2:$D$7708,4,FALSE))</f>
        <v/>
      </c>
      <c r="E142" s="8"/>
      <c r="G142" s="8"/>
    </row>
    <row r="143" spans="1:7" x14ac:dyDescent="0.3">
      <c r="A143" s="5" t="str">
        <f>IF(ISBLANK(C143),"",VLOOKUP(C143,'Database - Contacts'!$A$2:$D$7708,2,FALSE))</f>
        <v/>
      </c>
      <c r="B143" s="5" t="str">
        <f>IF(ISBLANK(C143),"",VLOOKUP(C143,'Database - Contacts'!$A$2:$D$7708,3,FALSE))</f>
        <v/>
      </c>
      <c r="C143" s="6"/>
      <c r="D143" s="5" t="str">
        <f>IF(ISBLANK(C143),"",VLOOKUP(C143,'Database - Contacts'!$A$2:$D$7708,4,FALSE))</f>
        <v/>
      </c>
      <c r="E143" s="8"/>
      <c r="G143" s="8"/>
    </row>
    <row r="144" spans="1:7" x14ac:dyDescent="0.3">
      <c r="A144" s="5" t="str">
        <f>IF(ISBLANK(C144),"",VLOOKUP(C144,'Database - Contacts'!$A$2:$D$7708,2,FALSE))</f>
        <v/>
      </c>
      <c r="B144" s="5" t="str">
        <f>IF(ISBLANK(C144),"",VLOOKUP(C144,'Database - Contacts'!$A$2:$D$7708,3,FALSE))</f>
        <v/>
      </c>
      <c r="C144" s="6"/>
      <c r="D144" s="5" t="str">
        <f>IF(ISBLANK(C144),"",VLOOKUP(C144,'Database - Contacts'!$A$2:$D$7708,4,FALSE))</f>
        <v/>
      </c>
      <c r="E144" s="8"/>
      <c r="G144" s="8"/>
    </row>
    <row r="145" spans="1:7" x14ac:dyDescent="0.3">
      <c r="A145" s="5" t="str">
        <f>IF(ISBLANK(C145),"",VLOOKUP(C145,'Database - Contacts'!$A$2:$D$7708,2,FALSE))</f>
        <v/>
      </c>
      <c r="B145" s="5" t="str">
        <f>IF(ISBLANK(C145),"",VLOOKUP(C145,'Database - Contacts'!$A$2:$D$7708,3,FALSE))</f>
        <v/>
      </c>
      <c r="C145" s="6"/>
      <c r="D145" s="5" t="str">
        <f>IF(ISBLANK(C145),"",VLOOKUP(C145,'Database - Contacts'!$A$2:$D$7708,4,FALSE))</f>
        <v/>
      </c>
      <c r="E145" s="8"/>
      <c r="G145" s="8"/>
    </row>
    <row r="146" spans="1:7" x14ac:dyDescent="0.3">
      <c r="A146" s="5" t="str">
        <f>IF(ISBLANK(C146),"",VLOOKUP(C146,'Database - Contacts'!$A$2:$D$7708,2,FALSE))</f>
        <v/>
      </c>
      <c r="B146" s="5" t="str">
        <f>IF(ISBLANK(C146),"",VLOOKUP(C146,'Database - Contacts'!$A$2:$D$7708,3,FALSE))</f>
        <v/>
      </c>
      <c r="C146" s="6"/>
      <c r="D146" s="5" t="str">
        <f>IF(ISBLANK(C146),"",VLOOKUP(C146,'Database - Contacts'!$A$2:$D$7708,4,FALSE))</f>
        <v/>
      </c>
      <c r="E146" s="8"/>
      <c r="G146" s="8"/>
    </row>
    <row r="147" spans="1:7" x14ac:dyDescent="0.3">
      <c r="A147" s="5" t="str">
        <f>IF(ISBLANK(C147),"",VLOOKUP(C147,'Database - Contacts'!$A$2:$D$7708,2,FALSE))</f>
        <v/>
      </c>
      <c r="B147" s="5" t="str">
        <f>IF(ISBLANK(C147),"",VLOOKUP(C147,'Database - Contacts'!$A$2:$D$7708,3,FALSE))</f>
        <v/>
      </c>
      <c r="C147" s="6"/>
      <c r="D147" s="5" t="str">
        <f>IF(ISBLANK(C147),"",VLOOKUP(C147,'Database - Contacts'!$A$2:$D$7708,4,FALSE))</f>
        <v/>
      </c>
      <c r="E147" s="8"/>
      <c r="G147" s="8"/>
    </row>
    <row r="148" spans="1:7" x14ac:dyDescent="0.3">
      <c r="A148" s="5" t="str">
        <f>IF(ISBLANK(C148),"",VLOOKUP(C148,'Database - Contacts'!$A$2:$D$7708,2,FALSE))</f>
        <v/>
      </c>
      <c r="B148" s="5" t="str">
        <f>IF(ISBLANK(C148),"",VLOOKUP(C148,'Database - Contacts'!$A$2:$D$7708,3,FALSE))</f>
        <v/>
      </c>
      <c r="C148" s="6"/>
      <c r="D148" s="5" t="str">
        <f>IF(ISBLANK(C148),"",VLOOKUP(C148,'Database - Contacts'!$A$2:$D$7708,4,FALSE))</f>
        <v/>
      </c>
      <c r="E148" s="8"/>
      <c r="G148" s="8"/>
    </row>
    <row r="149" spans="1:7" x14ac:dyDescent="0.3">
      <c r="A149" s="5" t="str">
        <f>IF(ISBLANK(C149),"",VLOOKUP(C149,'Database - Contacts'!$A$2:$D$7708,2,FALSE))</f>
        <v/>
      </c>
      <c r="B149" s="5" t="str">
        <f>IF(ISBLANK(C149),"",VLOOKUP(C149,'Database - Contacts'!$A$2:$D$7708,3,FALSE))</f>
        <v/>
      </c>
      <c r="C149" s="6"/>
      <c r="D149" s="5" t="str">
        <f>IF(ISBLANK(C149),"",VLOOKUP(C149,'Database - Contacts'!$A$2:$D$7708,4,FALSE))</f>
        <v/>
      </c>
      <c r="E149" s="8"/>
      <c r="G149" s="8"/>
    </row>
    <row r="150" spans="1:7" x14ac:dyDescent="0.3">
      <c r="A150" s="5" t="str">
        <f>IF(ISBLANK(C150),"",VLOOKUP(C150,'Database - Contacts'!$A$2:$D$7708,2,FALSE))</f>
        <v/>
      </c>
      <c r="B150" s="5" t="str">
        <f>IF(ISBLANK(C150),"",VLOOKUP(C150,'Database - Contacts'!$A$2:$D$7708,3,FALSE))</f>
        <v/>
      </c>
      <c r="C150" s="6"/>
      <c r="D150" s="5" t="str">
        <f>IF(ISBLANK(C150),"",VLOOKUP(C150,'Database - Contacts'!$A$2:$D$7708,4,FALSE))</f>
        <v/>
      </c>
      <c r="E150" s="8"/>
      <c r="G150" s="8"/>
    </row>
    <row r="151" spans="1:7" x14ac:dyDescent="0.3">
      <c r="A151" s="5" t="str">
        <f>IF(ISBLANK(C151),"",VLOOKUP(C151,'Database - Contacts'!$A$2:$D$7708,2,FALSE))</f>
        <v/>
      </c>
      <c r="B151" s="5" t="str">
        <f>IF(ISBLANK(C151),"",VLOOKUP(C151,'Database - Contacts'!$A$2:$D$7708,3,FALSE))</f>
        <v/>
      </c>
      <c r="C151" s="6"/>
      <c r="D151" s="5" t="str">
        <f>IF(ISBLANK(C151),"",VLOOKUP(C151,'Database - Contacts'!$A$2:$D$7708,4,FALSE))</f>
        <v/>
      </c>
      <c r="E151" s="8"/>
      <c r="G151" s="8"/>
    </row>
    <row r="152" spans="1:7" x14ac:dyDescent="0.3">
      <c r="A152" s="5" t="str">
        <f>IF(ISBLANK(C152),"",VLOOKUP(C152,'Database - Contacts'!$A$2:$D$7708,2,FALSE))</f>
        <v/>
      </c>
      <c r="B152" s="5" t="str">
        <f>IF(ISBLANK(C152),"",VLOOKUP(C152,'Database - Contacts'!$A$2:$D$7708,3,FALSE))</f>
        <v/>
      </c>
      <c r="C152" s="6"/>
      <c r="D152" s="5" t="str">
        <f>IF(ISBLANK(C152),"",VLOOKUP(C152,'Database - Contacts'!$A$2:$D$7708,4,FALSE))</f>
        <v/>
      </c>
      <c r="E152" s="8"/>
      <c r="G152" s="8"/>
    </row>
    <row r="153" spans="1:7" x14ac:dyDescent="0.3">
      <c r="A153" s="5" t="str">
        <f>IF(ISBLANK(C153),"",VLOOKUP(C153,'Database - Contacts'!$A$2:$D$7708,2,FALSE))</f>
        <v/>
      </c>
      <c r="B153" s="5" t="str">
        <f>IF(ISBLANK(C153),"",VLOOKUP(C153,'Database - Contacts'!$A$2:$D$7708,3,FALSE))</f>
        <v/>
      </c>
      <c r="C153" s="6"/>
      <c r="D153" s="5" t="str">
        <f>IF(ISBLANK(C153),"",VLOOKUP(C153,'Database - Contacts'!$A$2:$D$7708,4,FALSE))</f>
        <v/>
      </c>
      <c r="E153" s="8"/>
      <c r="G153" s="8"/>
    </row>
    <row r="154" spans="1:7" x14ac:dyDescent="0.3">
      <c r="A154" s="5" t="str">
        <f>IF(ISBLANK(C154),"",VLOOKUP(C154,'Database - Contacts'!$A$2:$D$7708,2,FALSE))</f>
        <v/>
      </c>
      <c r="B154" s="5" t="str">
        <f>IF(ISBLANK(C154),"",VLOOKUP(C154,'Database - Contacts'!$A$2:$D$7708,3,FALSE))</f>
        <v/>
      </c>
      <c r="C154" s="6"/>
      <c r="D154" s="5" t="str">
        <f>IF(ISBLANK(C154),"",VLOOKUP(C154,'Database - Contacts'!$A$2:$D$7708,4,FALSE))</f>
        <v/>
      </c>
      <c r="E154" s="8"/>
      <c r="G154" s="8"/>
    </row>
    <row r="155" spans="1:7" x14ac:dyDescent="0.3">
      <c r="A155" s="5" t="str">
        <f>IF(ISBLANK(C155),"",VLOOKUP(C155,'Database - Contacts'!$A$2:$D$7708,2,FALSE))</f>
        <v/>
      </c>
      <c r="B155" s="5" t="str">
        <f>IF(ISBLANK(C155),"",VLOOKUP(C155,'Database - Contacts'!$A$2:$D$7708,3,FALSE))</f>
        <v/>
      </c>
      <c r="C155" s="6"/>
      <c r="D155" s="5" t="str">
        <f>IF(ISBLANK(C155),"",VLOOKUP(C155,'Database - Contacts'!$A$2:$D$7708,4,FALSE))</f>
        <v/>
      </c>
      <c r="E155" s="8"/>
      <c r="G155" s="8"/>
    </row>
    <row r="156" spans="1:7" x14ac:dyDescent="0.3">
      <c r="A156" s="5" t="str">
        <f>IF(ISBLANK(C156),"",VLOOKUP(C156,'Database - Contacts'!$A$2:$D$7708,2,FALSE))</f>
        <v/>
      </c>
      <c r="B156" s="5" t="str">
        <f>IF(ISBLANK(C156),"",VLOOKUP(C156,'Database - Contacts'!$A$2:$D$7708,3,FALSE))</f>
        <v/>
      </c>
      <c r="C156" s="6"/>
      <c r="D156" s="5" t="str">
        <f>IF(ISBLANK(C156),"",VLOOKUP(C156,'Database - Contacts'!$A$2:$D$7708,4,FALSE))</f>
        <v/>
      </c>
      <c r="E156" s="8"/>
      <c r="G156" s="8"/>
    </row>
    <row r="157" spans="1:7" x14ac:dyDescent="0.3">
      <c r="A157" s="5" t="str">
        <f>IF(ISBLANK(C157),"",VLOOKUP(C157,'Database - Contacts'!$A$2:$D$7708,2,FALSE))</f>
        <v/>
      </c>
      <c r="B157" s="5" t="str">
        <f>IF(ISBLANK(C157),"",VLOOKUP(C157,'Database - Contacts'!$A$2:$D$7708,3,FALSE))</f>
        <v/>
      </c>
      <c r="C157" s="6"/>
      <c r="D157" s="5" t="str">
        <f>IF(ISBLANK(C157),"",VLOOKUP(C157,'Database - Contacts'!$A$2:$D$7708,4,FALSE))</f>
        <v/>
      </c>
      <c r="E157" s="8"/>
      <c r="G157" s="8"/>
    </row>
    <row r="158" spans="1:7" x14ac:dyDescent="0.3">
      <c r="A158" s="5" t="str">
        <f>IF(ISBLANK(C158),"",VLOOKUP(C158,'Database - Contacts'!$A$2:$D$7708,2,FALSE))</f>
        <v/>
      </c>
      <c r="B158" s="5" t="str">
        <f>IF(ISBLANK(C158),"",VLOOKUP(C158,'Database - Contacts'!$A$2:$D$7708,3,FALSE))</f>
        <v/>
      </c>
      <c r="C158" s="6"/>
      <c r="D158" s="5" t="str">
        <f>IF(ISBLANK(C158),"",VLOOKUP(C158,'Database - Contacts'!$A$2:$D$7708,4,FALSE))</f>
        <v/>
      </c>
      <c r="E158" s="8"/>
      <c r="G158" s="8"/>
    </row>
    <row r="159" spans="1:7" x14ac:dyDescent="0.3">
      <c r="A159" s="5" t="str">
        <f>IF(ISBLANK(C159),"",VLOOKUP(C159,'Database - Contacts'!$A$2:$D$7708,2,FALSE))</f>
        <v/>
      </c>
      <c r="B159" s="5" t="str">
        <f>IF(ISBLANK(C159),"",VLOOKUP(C159,'Database - Contacts'!$A$2:$D$7708,3,FALSE))</f>
        <v/>
      </c>
      <c r="C159" s="6"/>
      <c r="D159" s="5" t="str">
        <f>IF(ISBLANK(C159),"",VLOOKUP(C159,'Database - Contacts'!$A$2:$D$7708,4,FALSE))</f>
        <v/>
      </c>
      <c r="E159" s="8"/>
      <c r="G159" s="8"/>
    </row>
    <row r="160" spans="1:7" x14ac:dyDescent="0.3">
      <c r="A160" s="5" t="str">
        <f>IF(ISBLANK(C160),"",VLOOKUP(C160,'Database - Contacts'!$A$2:$D$7708,2,FALSE))</f>
        <v/>
      </c>
      <c r="B160" s="5" t="str">
        <f>IF(ISBLANK(C160),"",VLOOKUP(C160,'Database - Contacts'!$A$2:$D$7708,3,FALSE))</f>
        <v/>
      </c>
      <c r="C160" s="6"/>
      <c r="D160" s="5" t="str">
        <f>IF(ISBLANK(C160),"",VLOOKUP(C160,'Database - Contacts'!$A$2:$D$7708,4,FALSE))</f>
        <v/>
      </c>
      <c r="E160" s="8"/>
      <c r="G160" s="8"/>
    </row>
    <row r="161" spans="1:7" x14ac:dyDescent="0.3">
      <c r="A161" s="5" t="str">
        <f>IF(ISBLANK(C161),"",VLOOKUP(C161,'Database - Contacts'!$A$2:$D$7708,2,FALSE))</f>
        <v/>
      </c>
      <c r="B161" s="5" t="str">
        <f>IF(ISBLANK(C161),"",VLOOKUP(C161,'Database - Contacts'!$A$2:$D$7708,3,FALSE))</f>
        <v/>
      </c>
      <c r="C161" s="6"/>
      <c r="D161" s="5" t="str">
        <f>IF(ISBLANK(C161),"",VLOOKUP(C161,'Database - Contacts'!$A$2:$D$7708,4,FALSE))</f>
        <v/>
      </c>
      <c r="E161" s="8"/>
      <c r="G161" s="8"/>
    </row>
    <row r="162" spans="1:7" x14ac:dyDescent="0.3">
      <c r="A162" s="5" t="str">
        <f>IF(ISBLANK(C162),"",VLOOKUP(C162,'Database - Contacts'!$A$2:$D$7708,2,FALSE))</f>
        <v/>
      </c>
      <c r="B162" s="5" t="str">
        <f>IF(ISBLANK(C162),"",VLOOKUP(C162,'Database - Contacts'!$A$2:$D$7708,3,FALSE))</f>
        <v/>
      </c>
      <c r="C162" s="6"/>
      <c r="D162" s="5" t="str">
        <f>IF(ISBLANK(C162),"",VLOOKUP(C162,'Database - Contacts'!$A$2:$D$7708,4,FALSE))</f>
        <v/>
      </c>
      <c r="E162" s="8"/>
      <c r="G162" s="8"/>
    </row>
    <row r="163" spans="1:7" x14ac:dyDescent="0.3">
      <c r="A163" s="5" t="str">
        <f>IF(ISBLANK(C163),"",VLOOKUP(C163,'Database - Contacts'!$A$2:$D$7708,2,FALSE))</f>
        <v/>
      </c>
      <c r="B163" s="5" t="str">
        <f>IF(ISBLANK(C163),"",VLOOKUP(C163,'Database - Contacts'!$A$2:$D$7708,3,FALSE))</f>
        <v/>
      </c>
      <c r="C163" s="6"/>
      <c r="D163" s="5" t="str">
        <f>IF(ISBLANK(C163),"",VLOOKUP(C163,'Database - Contacts'!$A$2:$D$7708,4,FALSE))</f>
        <v/>
      </c>
      <c r="E163" s="8"/>
      <c r="G163" s="8"/>
    </row>
    <row r="164" spans="1:7" x14ac:dyDescent="0.3">
      <c r="A164" s="5" t="str">
        <f>IF(ISBLANK(C164),"",VLOOKUP(C164,'Database - Contacts'!$A$2:$D$7708,2,FALSE))</f>
        <v/>
      </c>
      <c r="B164" s="5" t="str">
        <f>IF(ISBLANK(C164),"",VLOOKUP(C164,'Database - Contacts'!$A$2:$D$7708,3,FALSE))</f>
        <v/>
      </c>
      <c r="C164" s="6"/>
      <c r="D164" s="5" t="str">
        <f>IF(ISBLANK(C164),"",VLOOKUP(C164,'Database - Contacts'!$A$2:$D$7708,4,FALSE))</f>
        <v/>
      </c>
      <c r="E164" s="8"/>
      <c r="G164" s="8"/>
    </row>
    <row r="165" spans="1:7" x14ac:dyDescent="0.3">
      <c r="A165" s="5" t="str">
        <f>IF(ISBLANK(C165),"",VLOOKUP(C165,'Database - Contacts'!$A$2:$D$7708,2,FALSE))</f>
        <v/>
      </c>
      <c r="B165" s="5" t="str">
        <f>IF(ISBLANK(C165),"",VLOOKUP(C165,'Database - Contacts'!$A$2:$D$7708,3,FALSE))</f>
        <v/>
      </c>
      <c r="C165" s="6"/>
      <c r="D165" s="5" t="str">
        <f>IF(ISBLANK(C165),"",VLOOKUP(C165,'Database - Contacts'!$A$2:$D$7708,4,FALSE))</f>
        <v/>
      </c>
      <c r="E165" s="8"/>
      <c r="G165" s="8"/>
    </row>
    <row r="166" spans="1:7" x14ac:dyDescent="0.3">
      <c r="A166" s="5" t="str">
        <f>IF(ISBLANK(C166),"",VLOOKUP(C166,'Database - Contacts'!$A$2:$D$7708,2,FALSE))</f>
        <v/>
      </c>
      <c r="B166" s="5" t="str">
        <f>IF(ISBLANK(C166),"",VLOOKUP(C166,'Database - Contacts'!$A$2:$D$7708,3,FALSE))</f>
        <v/>
      </c>
      <c r="C166" s="6"/>
      <c r="D166" s="5" t="str">
        <f>IF(ISBLANK(C166),"",VLOOKUP(C166,'Database - Contacts'!$A$2:$D$7708,4,FALSE))</f>
        <v/>
      </c>
      <c r="E166" s="8"/>
      <c r="G166" s="8"/>
    </row>
    <row r="167" spans="1:7" x14ac:dyDescent="0.3">
      <c r="A167" s="5" t="str">
        <f>IF(ISBLANK(C167),"",VLOOKUP(C167,'Database - Contacts'!$A$2:$D$7708,2,FALSE))</f>
        <v/>
      </c>
      <c r="B167" s="5" t="str">
        <f>IF(ISBLANK(C167),"",VLOOKUP(C167,'Database - Contacts'!$A$2:$D$7708,3,FALSE))</f>
        <v/>
      </c>
      <c r="C167" s="6"/>
      <c r="D167" s="5" t="str">
        <f>IF(ISBLANK(C167),"",VLOOKUP(C167,'Database - Contacts'!$A$2:$D$7708,4,FALSE))</f>
        <v/>
      </c>
      <c r="E167" s="8"/>
      <c r="G167" s="8"/>
    </row>
    <row r="168" spans="1:7" x14ac:dyDescent="0.3">
      <c r="A168" s="5" t="str">
        <f>IF(ISBLANK(C168),"",VLOOKUP(C168,'Database - Contacts'!$A$2:$D$7708,2,FALSE))</f>
        <v/>
      </c>
      <c r="B168" s="5" t="str">
        <f>IF(ISBLANK(C168),"",VLOOKUP(C168,'Database - Contacts'!$A$2:$D$7708,3,FALSE))</f>
        <v/>
      </c>
      <c r="C168" s="6"/>
      <c r="D168" s="5" t="str">
        <f>IF(ISBLANK(C168),"",VLOOKUP(C168,'Database - Contacts'!$A$2:$D$7708,4,FALSE))</f>
        <v/>
      </c>
      <c r="E168" s="8"/>
      <c r="G168" s="8"/>
    </row>
    <row r="169" spans="1:7" x14ac:dyDescent="0.3">
      <c r="A169" s="5" t="str">
        <f>IF(ISBLANK(C169),"",VLOOKUP(C169,'Database - Contacts'!$A$2:$D$7708,2,FALSE))</f>
        <v/>
      </c>
      <c r="B169" s="5" t="str">
        <f>IF(ISBLANK(C169),"",VLOOKUP(C169,'Database - Contacts'!$A$2:$D$7708,3,FALSE))</f>
        <v/>
      </c>
      <c r="C169" s="6"/>
      <c r="D169" s="5" t="str">
        <f>IF(ISBLANK(C169),"",VLOOKUP(C169,'Database - Contacts'!$A$2:$D$7708,4,FALSE))</f>
        <v/>
      </c>
      <c r="E169" s="8"/>
      <c r="G169" s="8"/>
    </row>
    <row r="170" spans="1:7" x14ac:dyDescent="0.3">
      <c r="A170" s="5" t="str">
        <f>IF(ISBLANK(C170),"",VLOOKUP(C170,'Database - Contacts'!$A$2:$D$7708,2,FALSE))</f>
        <v/>
      </c>
      <c r="B170" s="5" t="str">
        <f>IF(ISBLANK(C170),"",VLOOKUP(C170,'Database - Contacts'!$A$2:$D$7708,3,FALSE))</f>
        <v/>
      </c>
      <c r="C170" s="6"/>
      <c r="D170" s="5" t="str">
        <f>IF(ISBLANK(C170),"",VLOOKUP(C170,'Database - Contacts'!$A$2:$D$7708,4,FALSE))</f>
        <v/>
      </c>
      <c r="E170" s="8"/>
      <c r="G170" s="8"/>
    </row>
    <row r="171" spans="1:7" x14ac:dyDescent="0.3">
      <c r="A171" s="5" t="str">
        <f>IF(ISBLANK(C171),"",VLOOKUP(C171,'Database - Contacts'!$A$2:$D$7708,2,FALSE))</f>
        <v/>
      </c>
      <c r="B171" s="5" t="str">
        <f>IF(ISBLANK(C171),"",VLOOKUP(C171,'Database - Contacts'!$A$2:$D$7708,3,FALSE))</f>
        <v/>
      </c>
      <c r="C171" s="6"/>
      <c r="D171" s="5" t="str">
        <f>IF(ISBLANK(C171),"",VLOOKUP(C171,'Database - Contacts'!$A$2:$D$7708,4,FALSE))</f>
        <v/>
      </c>
      <c r="E171" s="8"/>
      <c r="G171" s="8"/>
    </row>
    <row r="172" spans="1:7" x14ac:dyDescent="0.3">
      <c r="A172" s="5" t="str">
        <f>IF(ISBLANK(C172),"",VLOOKUP(C172,'Database - Contacts'!$A$2:$D$7708,2,FALSE))</f>
        <v/>
      </c>
      <c r="B172" s="5" t="str">
        <f>IF(ISBLANK(C172),"",VLOOKUP(C172,'Database - Contacts'!$A$2:$D$7708,3,FALSE))</f>
        <v/>
      </c>
      <c r="C172" s="6"/>
      <c r="D172" s="5" t="str">
        <f>IF(ISBLANK(C172),"",VLOOKUP(C172,'Database - Contacts'!$A$2:$D$7708,4,FALSE))</f>
        <v/>
      </c>
      <c r="E172" s="8"/>
      <c r="G172" s="8"/>
    </row>
    <row r="173" spans="1:7" x14ac:dyDescent="0.3">
      <c r="A173" s="5" t="str">
        <f>IF(ISBLANK(C173),"",VLOOKUP(C173,'Database - Contacts'!$A$2:$D$7708,2,FALSE))</f>
        <v/>
      </c>
      <c r="B173" s="5" t="str">
        <f>IF(ISBLANK(C173),"",VLOOKUP(C173,'Database - Contacts'!$A$2:$D$7708,3,FALSE))</f>
        <v/>
      </c>
      <c r="C173" s="6"/>
      <c r="D173" s="5" t="str">
        <f>IF(ISBLANK(C173),"",VLOOKUP(C173,'Database - Contacts'!$A$2:$D$7708,4,FALSE))</f>
        <v/>
      </c>
      <c r="E173" s="8"/>
      <c r="G173" s="8"/>
    </row>
    <row r="174" spans="1:7" x14ac:dyDescent="0.3">
      <c r="A174" s="5" t="str">
        <f>IF(ISBLANK(C174),"",VLOOKUP(C174,'Database - Contacts'!$A$2:$D$7708,2,FALSE))</f>
        <v/>
      </c>
      <c r="B174" s="5" t="str">
        <f>IF(ISBLANK(C174),"",VLOOKUP(C174,'Database - Contacts'!$A$2:$D$7708,3,FALSE))</f>
        <v/>
      </c>
      <c r="C174" s="6"/>
      <c r="D174" s="5" t="str">
        <f>IF(ISBLANK(C174),"",VLOOKUP(C174,'Database - Contacts'!$A$2:$D$7708,4,FALSE))</f>
        <v/>
      </c>
      <c r="E174" s="8"/>
      <c r="G174" s="8"/>
    </row>
    <row r="175" spans="1:7" x14ac:dyDescent="0.3">
      <c r="A175" s="5" t="str">
        <f>IF(ISBLANK(C175),"",VLOOKUP(C175,'Database - Contacts'!$A$2:$D$7708,2,FALSE))</f>
        <v/>
      </c>
      <c r="B175" s="5" t="str">
        <f>IF(ISBLANK(C175),"",VLOOKUP(C175,'Database - Contacts'!$A$2:$D$7708,3,FALSE))</f>
        <v/>
      </c>
      <c r="C175" s="6"/>
      <c r="D175" s="5" t="str">
        <f>IF(ISBLANK(C175),"",VLOOKUP(C175,'Database - Contacts'!$A$2:$D$7708,4,FALSE))</f>
        <v/>
      </c>
      <c r="E175" s="8"/>
      <c r="G175" s="8"/>
    </row>
    <row r="176" spans="1:7" x14ac:dyDescent="0.3">
      <c r="A176" s="5" t="str">
        <f>IF(ISBLANK(C176),"",VLOOKUP(C176,'Database - Contacts'!$A$2:$D$7708,2,FALSE))</f>
        <v/>
      </c>
      <c r="B176" s="5" t="str">
        <f>IF(ISBLANK(C176),"",VLOOKUP(C176,'Database - Contacts'!$A$2:$D$7708,3,FALSE))</f>
        <v/>
      </c>
      <c r="C176" s="6"/>
      <c r="D176" s="5" t="str">
        <f>IF(ISBLANK(C176),"",VLOOKUP(C176,'Database - Contacts'!$A$2:$D$7708,4,FALSE))</f>
        <v/>
      </c>
      <c r="E176" s="8"/>
      <c r="G176" s="8"/>
    </row>
    <row r="177" spans="1:7" x14ac:dyDescent="0.3">
      <c r="A177" s="5" t="str">
        <f>IF(ISBLANK(C177),"",VLOOKUP(C177,'Database - Contacts'!$A$2:$D$7708,2,FALSE))</f>
        <v/>
      </c>
      <c r="B177" s="5" t="str">
        <f>IF(ISBLANK(C177),"",VLOOKUP(C177,'Database - Contacts'!$A$2:$D$7708,3,FALSE))</f>
        <v/>
      </c>
      <c r="C177" s="6"/>
      <c r="D177" s="5" t="str">
        <f>IF(ISBLANK(C177),"",VLOOKUP(C177,'Database - Contacts'!$A$2:$D$7708,4,FALSE))</f>
        <v/>
      </c>
      <c r="E177" s="8"/>
      <c r="G177" s="8"/>
    </row>
    <row r="178" spans="1:7" x14ac:dyDescent="0.3">
      <c r="A178" s="5" t="str">
        <f>IF(ISBLANK(C178),"",VLOOKUP(C178,'Database - Contacts'!$A$2:$D$7708,2,FALSE))</f>
        <v/>
      </c>
      <c r="B178" s="5" t="str">
        <f>IF(ISBLANK(C178),"",VLOOKUP(C178,'Database - Contacts'!$A$2:$D$7708,3,FALSE))</f>
        <v/>
      </c>
      <c r="C178" s="6"/>
      <c r="D178" s="5" t="str">
        <f>IF(ISBLANK(C178),"",VLOOKUP(C178,'Database - Contacts'!$A$2:$D$7708,4,FALSE))</f>
        <v/>
      </c>
      <c r="E178" s="8"/>
      <c r="G178" s="8"/>
    </row>
    <row r="179" spans="1:7" x14ac:dyDescent="0.3">
      <c r="A179" s="5" t="str">
        <f>IF(ISBLANK(C179),"",VLOOKUP(C179,'Database - Contacts'!$A$2:$D$7708,2,FALSE))</f>
        <v/>
      </c>
      <c r="B179" s="5" t="str">
        <f>IF(ISBLANK(C179),"",VLOOKUP(C179,'Database - Contacts'!$A$2:$D$7708,3,FALSE))</f>
        <v/>
      </c>
      <c r="C179" s="6"/>
      <c r="D179" s="5" t="str">
        <f>IF(ISBLANK(C179),"",VLOOKUP(C179,'Database - Contacts'!$A$2:$D$7708,4,FALSE))</f>
        <v/>
      </c>
      <c r="E179" s="8"/>
      <c r="G179" s="8"/>
    </row>
    <row r="180" spans="1:7" x14ac:dyDescent="0.3">
      <c r="A180" s="5" t="str">
        <f>IF(ISBLANK(C180),"",VLOOKUP(C180,'Database - Contacts'!$A$2:$D$7708,2,FALSE))</f>
        <v/>
      </c>
      <c r="B180" s="5" t="str">
        <f>IF(ISBLANK(C180),"",VLOOKUP(C180,'Database - Contacts'!$A$2:$D$7708,3,FALSE))</f>
        <v/>
      </c>
      <c r="C180" s="6"/>
      <c r="D180" s="5" t="str">
        <f>IF(ISBLANK(C180),"",VLOOKUP(C180,'Database - Contacts'!$A$2:$D$7708,4,FALSE))</f>
        <v/>
      </c>
      <c r="E180" s="8"/>
      <c r="G180" s="8"/>
    </row>
    <row r="181" spans="1:7" x14ac:dyDescent="0.3">
      <c r="A181" s="5" t="str">
        <f>IF(ISBLANK(C181),"",VLOOKUP(C181,'Database - Contacts'!$A$2:$D$7708,2,FALSE))</f>
        <v/>
      </c>
      <c r="B181" s="5" t="str">
        <f>IF(ISBLANK(C181),"",VLOOKUP(C181,'Database - Contacts'!$A$2:$D$7708,3,FALSE))</f>
        <v/>
      </c>
      <c r="C181" s="6"/>
      <c r="D181" s="5" t="str">
        <f>IF(ISBLANK(C181),"",VLOOKUP(C181,'Database - Contacts'!$A$2:$D$7708,4,FALSE))</f>
        <v/>
      </c>
      <c r="E181" s="8"/>
      <c r="G181" s="8"/>
    </row>
    <row r="182" spans="1:7" x14ac:dyDescent="0.3">
      <c r="A182" s="5" t="str">
        <f>IF(ISBLANK(C182),"",VLOOKUP(C182,'Database - Contacts'!$A$2:$D$7708,2,FALSE))</f>
        <v/>
      </c>
      <c r="B182" s="5" t="str">
        <f>IF(ISBLANK(C182),"",VLOOKUP(C182,'Database - Contacts'!$A$2:$D$7708,3,FALSE))</f>
        <v/>
      </c>
      <c r="C182" s="6"/>
      <c r="D182" s="5" t="str">
        <f>IF(ISBLANK(C182),"",VLOOKUP(C182,'Database - Contacts'!$A$2:$D$7708,4,FALSE))</f>
        <v/>
      </c>
      <c r="E182" s="8"/>
      <c r="G182" s="8"/>
    </row>
    <row r="183" spans="1:7" x14ac:dyDescent="0.3">
      <c r="A183" s="5" t="str">
        <f>IF(ISBLANK(C183),"",VLOOKUP(C183,'Database - Contacts'!$A$2:$D$7708,2,FALSE))</f>
        <v/>
      </c>
      <c r="B183" s="5" t="str">
        <f>IF(ISBLANK(C183),"",VLOOKUP(C183,'Database - Contacts'!$A$2:$D$7708,3,FALSE))</f>
        <v/>
      </c>
      <c r="C183" s="6"/>
      <c r="D183" s="5" t="str">
        <f>IF(ISBLANK(C183),"",VLOOKUP(C183,'Database - Contacts'!$A$2:$D$7708,4,FALSE))</f>
        <v/>
      </c>
      <c r="E183" s="8"/>
      <c r="G183" s="8"/>
    </row>
    <row r="184" spans="1:7" x14ac:dyDescent="0.3">
      <c r="A184" s="5" t="str">
        <f>IF(ISBLANK(C184),"",VLOOKUP(C184,'Database - Contacts'!$A$2:$D$7708,2,FALSE))</f>
        <v/>
      </c>
      <c r="B184" s="5" t="str">
        <f>IF(ISBLANK(C184),"",VLOOKUP(C184,'Database - Contacts'!$A$2:$D$7708,3,FALSE))</f>
        <v/>
      </c>
      <c r="C184" s="6"/>
      <c r="D184" s="5" t="str">
        <f>IF(ISBLANK(C184),"",VLOOKUP(C184,'Database - Contacts'!$A$2:$D$7708,4,FALSE))</f>
        <v/>
      </c>
      <c r="E184" s="8"/>
      <c r="G184" s="8"/>
    </row>
    <row r="185" spans="1:7" x14ac:dyDescent="0.3">
      <c r="A185" s="5" t="str">
        <f>IF(ISBLANK(C185),"",VLOOKUP(C185,'Database - Contacts'!$A$2:$D$7708,2,FALSE))</f>
        <v/>
      </c>
      <c r="B185" s="5" t="str">
        <f>IF(ISBLANK(C185),"",VLOOKUP(C185,'Database - Contacts'!$A$2:$D$7708,3,FALSE))</f>
        <v/>
      </c>
      <c r="C185" s="6"/>
      <c r="D185" s="5" t="str">
        <f>IF(ISBLANK(C185),"",VLOOKUP(C185,'Database - Contacts'!$A$2:$D$7708,4,FALSE))</f>
        <v/>
      </c>
      <c r="E185" s="8"/>
      <c r="G185" s="8"/>
    </row>
    <row r="186" spans="1:7" x14ac:dyDescent="0.3">
      <c r="A186" s="5" t="str">
        <f>IF(ISBLANK(C186),"",VLOOKUP(C186,'Database - Contacts'!$A$2:$D$7708,2,FALSE))</f>
        <v/>
      </c>
      <c r="B186" s="5" t="str">
        <f>IF(ISBLANK(C186),"",VLOOKUP(C186,'Database - Contacts'!$A$2:$D$7708,3,FALSE))</f>
        <v/>
      </c>
      <c r="C186" s="6"/>
      <c r="D186" s="5" t="str">
        <f>IF(ISBLANK(C186),"",VLOOKUP(C186,'Database - Contacts'!$A$2:$D$7708,4,FALSE))</f>
        <v/>
      </c>
      <c r="E186" s="8"/>
      <c r="G186" s="8"/>
    </row>
    <row r="187" spans="1:7" x14ac:dyDescent="0.3">
      <c r="A187" s="5" t="str">
        <f>IF(ISBLANK(C187),"",VLOOKUP(C187,'Database - Contacts'!$A$2:$D$7708,2,FALSE))</f>
        <v/>
      </c>
      <c r="B187" s="5" t="str">
        <f>IF(ISBLANK(C187),"",VLOOKUP(C187,'Database - Contacts'!$A$2:$D$7708,3,FALSE))</f>
        <v/>
      </c>
      <c r="C187" s="6"/>
      <c r="D187" s="5" t="str">
        <f>IF(ISBLANK(C187),"",VLOOKUP(C187,'Database - Contacts'!$A$2:$D$7708,4,FALSE))</f>
        <v/>
      </c>
      <c r="E187" s="8"/>
      <c r="G187" s="8"/>
    </row>
    <row r="188" spans="1:7" x14ac:dyDescent="0.3">
      <c r="A188" s="5" t="str">
        <f>IF(ISBLANK(C188),"",VLOOKUP(C188,'Database - Contacts'!$A$2:$D$7708,2,FALSE))</f>
        <v/>
      </c>
      <c r="B188" s="5" t="str">
        <f>IF(ISBLANK(C188),"",VLOOKUP(C188,'Database - Contacts'!$A$2:$D$7708,3,FALSE))</f>
        <v/>
      </c>
      <c r="C188" s="6"/>
      <c r="D188" s="5" t="str">
        <f>IF(ISBLANK(C188),"",VLOOKUP(C188,'Database - Contacts'!$A$2:$D$7708,4,FALSE))</f>
        <v/>
      </c>
      <c r="E188" s="8"/>
      <c r="G188" s="8"/>
    </row>
    <row r="189" spans="1:7" x14ac:dyDescent="0.3">
      <c r="A189" s="5" t="str">
        <f>IF(ISBLANK(C189),"",VLOOKUP(C189,'Database - Contacts'!$A$2:$D$7708,2,FALSE))</f>
        <v/>
      </c>
      <c r="B189" s="5" t="str">
        <f>IF(ISBLANK(C189),"",VLOOKUP(C189,'Database - Contacts'!$A$2:$D$7708,3,FALSE))</f>
        <v/>
      </c>
      <c r="C189" s="6"/>
      <c r="D189" s="5" t="str">
        <f>IF(ISBLANK(C189),"",VLOOKUP(C189,'Database - Contacts'!$A$2:$D$7708,4,FALSE))</f>
        <v/>
      </c>
      <c r="E189" s="8"/>
      <c r="G189" s="8"/>
    </row>
    <row r="190" spans="1:7" x14ac:dyDescent="0.3">
      <c r="A190" s="5" t="str">
        <f>IF(ISBLANK(C190),"",VLOOKUP(C190,'Database - Contacts'!$A$2:$D$7708,2,FALSE))</f>
        <v/>
      </c>
      <c r="B190" s="5" t="str">
        <f>IF(ISBLANK(C190),"",VLOOKUP(C190,'Database - Contacts'!$A$2:$D$7708,3,FALSE))</f>
        <v/>
      </c>
      <c r="C190" s="6"/>
      <c r="D190" s="5" t="str">
        <f>IF(ISBLANK(C190),"",VLOOKUP(C190,'Database - Contacts'!$A$2:$D$7708,4,FALSE))</f>
        <v/>
      </c>
      <c r="E190" s="8"/>
      <c r="G190" s="8"/>
    </row>
    <row r="191" spans="1:7" x14ac:dyDescent="0.3">
      <c r="A191" s="5" t="str">
        <f>IF(ISBLANK(C191),"",VLOOKUP(C191,'Database - Contacts'!$A$2:$D$7708,2,FALSE))</f>
        <v/>
      </c>
      <c r="B191" s="5" t="str">
        <f>IF(ISBLANK(C191),"",VLOOKUP(C191,'Database - Contacts'!$A$2:$D$7708,3,FALSE))</f>
        <v/>
      </c>
      <c r="C191" s="6"/>
      <c r="D191" s="5" t="str">
        <f>IF(ISBLANK(C191),"",VLOOKUP(C191,'Database - Contacts'!$A$2:$D$7708,4,FALSE))</f>
        <v/>
      </c>
      <c r="E191" s="8"/>
      <c r="G191" s="8"/>
    </row>
    <row r="192" spans="1:7" x14ac:dyDescent="0.3">
      <c r="A192" s="5" t="str">
        <f>IF(ISBLANK(C192),"",VLOOKUP(C192,'Database - Contacts'!$A$2:$D$7708,2,FALSE))</f>
        <v/>
      </c>
      <c r="B192" s="5" t="str">
        <f>IF(ISBLANK(C192),"",VLOOKUP(C192,'Database - Contacts'!$A$2:$D$7708,3,FALSE))</f>
        <v/>
      </c>
      <c r="C192" s="6"/>
      <c r="D192" s="5" t="str">
        <f>IF(ISBLANK(C192),"",VLOOKUP(C192,'Database - Contacts'!$A$2:$D$7708,4,FALSE))</f>
        <v/>
      </c>
      <c r="E192" s="8"/>
      <c r="G192" s="8"/>
    </row>
    <row r="1048512" spans="5:7" x14ac:dyDescent="0.3">
      <c r="E1048512" s="8"/>
      <c r="G1048512" s="8"/>
    </row>
  </sheetData>
  <sheetProtection sheet="1" formatColumns="0" formatRows="0" autoFilter="0"/>
  <dataValidations count="1">
    <dataValidation type="list" allowBlank="1" showDropDown="1" showInputMessage="1" showErrorMessage="1" sqref="A1:G1" xr:uid="{66061F89-FB4A-492E-92D9-C630A1368C14}">
      <formula1>"wago1"</formula1>
    </dataValidation>
  </dataValidations>
  <pageMargins left="0.7" right="0.7" top="0.75" bottom="0.75" header="0.3" footer="0.3"/>
  <pageSetup orientation="portrait" horizontalDpi="4294967293" verticalDpi="0" r:id="rId1"/>
  <headerFooter>
    <oddFooter>&amp;C&amp;1#&amp;"Calibri"&amp;10&amp;K000000Internal</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6A8146-C8B6-461A-B036-1EBE0FC8D837}">
  <dimension ref="A1:G22"/>
  <sheetViews>
    <sheetView workbookViewId="0">
      <selection activeCell="A15" sqref="A15:XFD22"/>
    </sheetView>
  </sheetViews>
  <sheetFormatPr defaultRowHeight="14.4" x14ac:dyDescent="0.3"/>
  <sheetData>
    <row r="1" spans="1:7" x14ac:dyDescent="0.3">
      <c r="A1" s="5" t="e">
        <f>IF(ISBLANK(C1),"",VLOOKUP(C1,'Database - Contacts'!$A$2:$D$7708,2,FALSE))</f>
        <v>#N/A</v>
      </c>
      <c r="B1" s="5" t="e">
        <f>IF(ISBLANK(C1),"",VLOOKUP(C1,'Database - Contacts'!$A$2:$D$7708,3,FALSE))</f>
        <v>#N/A</v>
      </c>
      <c r="C1" s="6" t="s">
        <v>4649</v>
      </c>
      <c r="D1" s="5" t="e">
        <f>IF(ISBLANK(C1),"",VLOOKUP(C1,'Database - Contacts'!$A$2:$D$7708,4,FALSE))</f>
        <v>#N/A</v>
      </c>
      <c r="E1" s="8" t="s">
        <v>4647</v>
      </c>
      <c r="F1" s="6" t="s">
        <v>4648</v>
      </c>
      <c r="G1" s="8"/>
    </row>
    <row r="2" spans="1:7" x14ac:dyDescent="0.3">
      <c r="A2" s="5" t="e">
        <f>IF(ISBLANK(C2),"",VLOOKUP(C2,'Database - Contacts'!$A$2:$D$7708,2,FALSE))</f>
        <v>#N/A</v>
      </c>
      <c r="B2" s="5" t="e">
        <f>IF(ISBLANK(C2),"",VLOOKUP(C2,'Database - Contacts'!$A$2:$D$7708,3,FALSE))</f>
        <v>#N/A</v>
      </c>
      <c r="C2" s="6" t="s">
        <v>4650</v>
      </c>
      <c r="D2" s="5" t="e">
        <f>IF(ISBLANK(C2),"",VLOOKUP(C2,'Database - Contacts'!$A$2:$D$7708,4,FALSE))</f>
        <v>#N/A</v>
      </c>
      <c r="E2" s="8" t="s">
        <v>4647</v>
      </c>
      <c r="F2" s="6" t="s">
        <v>4648</v>
      </c>
      <c r="G2" s="8"/>
    </row>
    <row r="3" spans="1:7" x14ac:dyDescent="0.3">
      <c r="A3" s="5" t="e">
        <f>IF(ISBLANK(C3),"",VLOOKUP(C3,'Database - Contacts'!$A$2:$D$7708,2,FALSE))</f>
        <v>#N/A</v>
      </c>
      <c r="B3" s="5" t="e">
        <f>IF(ISBLANK(C3),"",VLOOKUP(C3,'Database - Contacts'!$A$2:$D$7708,3,FALSE))</f>
        <v>#N/A</v>
      </c>
      <c r="C3" s="6" t="s">
        <v>4651</v>
      </c>
      <c r="D3" s="5" t="e">
        <f>IF(ISBLANK(C3),"",VLOOKUP(C3,'Database - Contacts'!$A$2:$D$7708,4,FALSE))</f>
        <v>#N/A</v>
      </c>
      <c r="E3" s="8" t="s">
        <v>4647</v>
      </c>
      <c r="F3" s="6" t="s">
        <v>4648</v>
      </c>
      <c r="G3" s="8"/>
    </row>
    <row r="4" spans="1:7" x14ac:dyDescent="0.3">
      <c r="A4" s="5" t="e">
        <f>IF(ISBLANK(C4),"",VLOOKUP(C4,'Database - Contacts'!$A$2:$D$7708,2,FALSE))</f>
        <v>#N/A</v>
      </c>
      <c r="B4" s="5" t="e">
        <f>IF(ISBLANK(C4),"",VLOOKUP(C4,'Database - Contacts'!$A$2:$D$7708,3,FALSE))</f>
        <v>#N/A</v>
      </c>
      <c r="C4" s="6" t="s">
        <v>4652</v>
      </c>
      <c r="D4" s="5" t="e">
        <f>IF(ISBLANK(C4),"",VLOOKUP(C4,'Database - Contacts'!$A$2:$D$7708,4,FALSE))</f>
        <v>#N/A</v>
      </c>
      <c r="E4" s="8" t="s">
        <v>4646</v>
      </c>
      <c r="F4" s="6" t="s">
        <v>4644</v>
      </c>
      <c r="G4" s="8"/>
    </row>
    <row r="5" spans="1:7" x14ac:dyDescent="0.3">
      <c r="A5" s="5" t="e">
        <f>IF(ISBLANK(C5),"",VLOOKUP(C5,'Database - Contacts'!$A$2:$D$7708,2,FALSE))</f>
        <v>#N/A</v>
      </c>
      <c r="B5" s="5" t="e">
        <f>IF(ISBLANK(C5),"",VLOOKUP(C5,'Database - Contacts'!$A$2:$D$7708,3,FALSE))</f>
        <v>#N/A</v>
      </c>
      <c r="C5" s="6" t="s">
        <v>4653</v>
      </c>
      <c r="D5" s="5" t="e">
        <f>IF(ISBLANK(C5),"",VLOOKUP(C5,'Database - Contacts'!$A$2:$D$7708,4,FALSE))</f>
        <v>#N/A</v>
      </c>
      <c r="E5" s="8" t="s">
        <v>4646</v>
      </c>
      <c r="F5" s="6" t="s">
        <v>4644</v>
      </c>
      <c r="G5" s="8"/>
    </row>
    <row r="6" spans="1:7" x14ac:dyDescent="0.3">
      <c r="A6" s="5" t="e">
        <f>IF(ISBLANK(C6),"",VLOOKUP(C6,'Database - Contacts'!$A$2:$D$7708,2,FALSE))</f>
        <v>#N/A</v>
      </c>
      <c r="B6" s="5" t="e">
        <f>IF(ISBLANK(C6),"",VLOOKUP(C6,'Database - Contacts'!$A$2:$D$7708,3,FALSE))</f>
        <v>#N/A</v>
      </c>
      <c r="C6" s="6" t="s">
        <v>4654</v>
      </c>
      <c r="D6" s="5" t="e">
        <f>IF(ISBLANK(C6),"",VLOOKUP(C6,'Database - Contacts'!$A$2:$D$7708,4,FALSE))</f>
        <v>#N/A</v>
      </c>
      <c r="E6" s="8" t="s">
        <v>4646</v>
      </c>
      <c r="F6" s="6" t="s">
        <v>4644</v>
      </c>
      <c r="G6" s="8"/>
    </row>
    <row r="7" spans="1:7" x14ac:dyDescent="0.3">
      <c r="A7" s="5" t="e">
        <f>IF(ISBLANK(C7),"",VLOOKUP(C7,'Database - Contacts'!$A$2:$D$7708,2,FALSE))</f>
        <v>#N/A</v>
      </c>
      <c r="B7" s="5" t="e">
        <f>IF(ISBLANK(C7),"",VLOOKUP(C7,'Database - Contacts'!$A$2:$D$7708,3,FALSE))</f>
        <v>#N/A</v>
      </c>
      <c r="C7" s="6" t="s">
        <v>4655</v>
      </c>
      <c r="D7" s="5" t="e">
        <f>IF(ISBLANK(C7),"",VLOOKUP(C7,'Database - Contacts'!$A$2:$D$7708,4,FALSE))</f>
        <v>#N/A</v>
      </c>
      <c r="E7" s="8" t="s">
        <v>4646</v>
      </c>
      <c r="F7" s="6" t="s">
        <v>4644</v>
      </c>
      <c r="G7" s="8"/>
    </row>
    <row r="8" spans="1:7" x14ac:dyDescent="0.3">
      <c r="A8" s="5" t="e">
        <f>IF(ISBLANK(C8),"",VLOOKUP(C8,'Database - Contacts'!$A$2:$D$7708,2,FALSE))</f>
        <v>#N/A</v>
      </c>
      <c r="B8" s="5" t="e">
        <f>IF(ISBLANK(C8),"",VLOOKUP(C8,'Database - Contacts'!$A$2:$D$7708,3,FALSE))</f>
        <v>#N/A</v>
      </c>
      <c r="C8" s="6" t="s">
        <v>4656</v>
      </c>
      <c r="D8" s="5" t="e">
        <f>IF(ISBLANK(C8),"",VLOOKUP(C8,'Database - Contacts'!$A$2:$D$7708,4,FALSE))</f>
        <v>#N/A</v>
      </c>
      <c r="E8" s="8" t="s">
        <v>4646</v>
      </c>
      <c r="F8" s="6" t="s">
        <v>4644</v>
      </c>
      <c r="G8" s="8"/>
    </row>
    <row r="9" spans="1:7" x14ac:dyDescent="0.3">
      <c r="A9" s="5" t="e">
        <f>IF(ISBLANK(C9),"",VLOOKUP(C9,'Database - Contacts'!$A$2:$D$7708,2,FALSE))</f>
        <v>#N/A</v>
      </c>
      <c r="B9" s="5" t="e">
        <f>IF(ISBLANK(C9),"",VLOOKUP(C9,'Database - Contacts'!$A$2:$D$7708,3,FALSE))</f>
        <v>#N/A</v>
      </c>
      <c r="C9" s="6" t="s">
        <v>4657</v>
      </c>
      <c r="D9" s="5" t="e">
        <f>IF(ISBLANK(C9),"",VLOOKUP(C9,'Database - Contacts'!$A$2:$D$7708,4,FALSE))</f>
        <v>#N/A</v>
      </c>
      <c r="E9" s="8" t="s">
        <v>4646</v>
      </c>
      <c r="F9" s="6" t="s">
        <v>4644</v>
      </c>
      <c r="G9" s="8"/>
    </row>
    <row r="10" spans="1:7" x14ac:dyDescent="0.3">
      <c r="A10" s="5" t="e">
        <f>IF(ISBLANK(C10),"",VLOOKUP(C10,'Database - Contacts'!$A$2:$D$7708,2,FALSE))</f>
        <v>#N/A</v>
      </c>
      <c r="B10" s="5" t="e">
        <f>IF(ISBLANK(C10),"",VLOOKUP(C10,'Database - Contacts'!$A$2:$D$7708,3,FALSE))</f>
        <v>#N/A</v>
      </c>
      <c r="C10" s="6" t="s">
        <v>4658</v>
      </c>
      <c r="D10" s="5" t="e">
        <f>IF(ISBLANK(C10),"",VLOOKUP(C10,'Database - Contacts'!$A$2:$D$7708,4,FALSE))</f>
        <v>#N/A</v>
      </c>
      <c r="E10" s="8" t="s">
        <v>4646</v>
      </c>
      <c r="F10" s="6" t="s">
        <v>4644</v>
      </c>
      <c r="G10" s="8"/>
    </row>
    <row r="11" spans="1:7" x14ac:dyDescent="0.3">
      <c r="A11" s="5" t="e">
        <f>IF(ISBLANK(C11),"",VLOOKUP(C11,'Database - Contacts'!$A$2:$D$7708,2,FALSE))</f>
        <v>#N/A</v>
      </c>
      <c r="B11" s="5" t="e">
        <f>IF(ISBLANK(C11),"",VLOOKUP(C11,'Database - Contacts'!$A$2:$D$7708,3,FALSE))</f>
        <v>#N/A</v>
      </c>
      <c r="C11" s="6" t="s">
        <v>4659</v>
      </c>
      <c r="D11" s="5" t="e">
        <f>IF(ISBLANK(C11),"",VLOOKUP(C11,'Database - Contacts'!$A$2:$D$7708,4,FALSE))</f>
        <v>#N/A</v>
      </c>
      <c r="E11" s="8" t="s">
        <v>4646</v>
      </c>
      <c r="F11" s="6" t="s">
        <v>4644</v>
      </c>
      <c r="G11" s="8"/>
    </row>
    <row r="12" spans="1:7" x14ac:dyDescent="0.3">
      <c r="A12" s="5" t="e">
        <f>IF(ISBLANK(C12),"",VLOOKUP(C12,'Database - Contacts'!$A$2:$D$7708,2,FALSE))</f>
        <v>#N/A</v>
      </c>
      <c r="B12" s="5" t="e">
        <f>IF(ISBLANK(C12),"",VLOOKUP(C12,'Database - Contacts'!$A$2:$D$7708,3,FALSE))</f>
        <v>#N/A</v>
      </c>
      <c r="C12" s="6" t="s">
        <v>4660</v>
      </c>
      <c r="D12" s="5" t="e">
        <f>IF(ISBLANK(C12),"",VLOOKUP(C12,'Database - Contacts'!$A$2:$D$7708,4,FALSE))</f>
        <v>#N/A</v>
      </c>
      <c r="E12" s="8" t="s">
        <v>4646</v>
      </c>
      <c r="F12" s="6" t="s">
        <v>4644</v>
      </c>
      <c r="G12" s="8"/>
    </row>
    <row r="13" spans="1:7" x14ac:dyDescent="0.3">
      <c r="A13" s="5" t="e">
        <f>IF(ISBLANK(C13),"",VLOOKUP(C13,'Database - Contacts'!$A$2:$D$7708,2,FALSE))</f>
        <v>#N/A</v>
      </c>
      <c r="B13" s="5" t="e">
        <f>IF(ISBLANK(C13),"",VLOOKUP(C13,'Database - Contacts'!$A$2:$D$7708,3,FALSE))</f>
        <v>#N/A</v>
      </c>
      <c r="C13" s="6" t="s">
        <v>4642</v>
      </c>
      <c r="D13" s="5" t="e">
        <f>IF(ISBLANK(C13),"",VLOOKUP(C13,'Database - Contacts'!$A$2:$D$7708,4,FALSE))</f>
        <v>#N/A</v>
      </c>
      <c r="E13" s="8" t="s">
        <v>4641</v>
      </c>
      <c r="F13" s="6" t="s">
        <v>4644</v>
      </c>
      <c r="G13" s="8"/>
    </row>
    <row r="14" spans="1:7" x14ac:dyDescent="0.3">
      <c r="A14" s="5" t="e">
        <f>IF(ISBLANK(C14),"",VLOOKUP(C14,'Database - Contacts'!$A$2:$D$7708,2,FALSE))</f>
        <v>#N/A</v>
      </c>
      <c r="B14" s="5" t="e">
        <f>IF(ISBLANK(C14),"",VLOOKUP(C14,'Database - Contacts'!$A$2:$D$7708,3,FALSE))</f>
        <v>#N/A</v>
      </c>
      <c r="C14" s="6" t="s">
        <v>4643</v>
      </c>
      <c r="D14" s="5" t="e">
        <f>IF(ISBLANK(C14),"",VLOOKUP(C14,'Database - Contacts'!$A$2:$D$7708,4,FALSE))</f>
        <v>#N/A</v>
      </c>
      <c r="E14" s="8" t="s">
        <v>4641</v>
      </c>
      <c r="F14" s="6" t="s">
        <v>4644</v>
      </c>
      <c r="G14" s="8"/>
    </row>
    <row r="15" spans="1:7" x14ac:dyDescent="0.3">
      <c r="A15" s="5" t="e">
        <f>IF(ISBLANK(C15),"",VLOOKUP(C15,'Database - Contacts'!$A$2:$D$7708,2,FALSE))</f>
        <v>#N/A</v>
      </c>
      <c r="B15" s="5" t="e">
        <f>IF(ISBLANK(C15),"",VLOOKUP(C15,'Database - Contacts'!$A$2:$D$7708,3,FALSE))</f>
        <v>#N/A</v>
      </c>
      <c r="C15" s="6" t="s">
        <v>4146</v>
      </c>
      <c r="D15" s="5" t="e">
        <f>IF(ISBLANK(C15),"",VLOOKUP(C15,'Database - Contacts'!$A$2:$D$7708,4,FALSE))</f>
        <v>#N/A</v>
      </c>
      <c r="E15" s="8" t="s">
        <v>1679</v>
      </c>
      <c r="F15" s="6" t="s">
        <v>4145</v>
      </c>
      <c r="G15" s="8"/>
    </row>
    <row r="16" spans="1:7" x14ac:dyDescent="0.3">
      <c r="A16" s="5" t="e">
        <f>IF(ISBLANK(C16),"",VLOOKUP(C16,'Database - Contacts'!$A$2:$D$7708,2,FALSE))</f>
        <v>#N/A</v>
      </c>
      <c r="B16" s="5" t="e">
        <f>IF(ISBLANK(C16),"",VLOOKUP(C16,'Database - Contacts'!$A$2:$D$7708,3,FALSE))</f>
        <v>#N/A</v>
      </c>
      <c r="C16" s="6" t="s">
        <v>4627</v>
      </c>
      <c r="D16" s="5" t="e">
        <f>IF(ISBLANK(C16),"",VLOOKUP(C16,'Database - Contacts'!$A$2:$D$7708,4,FALSE))</f>
        <v>#N/A</v>
      </c>
      <c r="E16" s="8" t="s">
        <v>4629</v>
      </c>
      <c r="F16" s="6" t="s">
        <v>4630</v>
      </c>
      <c r="G16" s="17"/>
    </row>
    <row r="17" spans="1:7" x14ac:dyDescent="0.3">
      <c r="A17" s="5" t="str">
        <f>IF(ISBLANK(C17),"",VLOOKUP(C17,'Database - Contacts'!$A$2:$D$7708,2,FALSE))</f>
        <v>NRT</v>
      </c>
      <c r="B17" s="5">
        <f>IF(ISBLANK(C17),"",VLOOKUP(C17,'Database - Contacts'!$A$2:$D$7708,3,FALSE))</f>
        <v>532951</v>
      </c>
      <c r="C17" s="6" t="s">
        <v>4628</v>
      </c>
      <c r="D17" s="5">
        <f>IF(ISBLANK(C17),"",VLOOKUP(C17,'Database - Contacts'!$A$2:$D$7708,4,FALSE))</f>
        <v>120242173</v>
      </c>
      <c r="E17" s="8" t="s">
        <v>4629</v>
      </c>
      <c r="F17" s="6" t="s">
        <v>4630</v>
      </c>
      <c r="G17" s="8"/>
    </row>
    <row r="18" spans="1:7" x14ac:dyDescent="0.3">
      <c r="A18" s="5" t="e">
        <f>IF(ISBLANK(C18),"",VLOOKUP(C18,'Database - Contacts'!$A$2:$D$7708,2,FALSE))</f>
        <v>#N/A</v>
      </c>
      <c r="B18" s="5" t="e">
        <f>IF(ISBLANK(C18),"",VLOOKUP(C18,'Database - Contacts'!$A$2:$D$7708,3,FALSE))</f>
        <v>#N/A</v>
      </c>
      <c r="C18" s="6" t="s">
        <v>4632</v>
      </c>
      <c r="D18" s="5" t="e">
        <f>IF(ISBLANK(C18),"",VLOOKUP(C18,'Database - Contacts'!$A$2:$D$7708,4,FALSE))</f>
        <v>#N/A</v>
      </c>
      <c r="E18" s="8" t="s">
        <v>4641</v>
      </c>
      <c r="F18" s="6" t="s">
        <v>4645</v>
      </c>
      <c r="G18" s="8"/>
    </row>
    <row r="19" spans="1:7" x14ac:dyDescent="0.3">
      <c r="A19" s="5" t="e">
        <f>IF(ISBLANK(C19),"",VLOOKUP(C19,'Database - Contacts'!$A$2:$D$7708,2,FALSE))</f>
        <v>#N/A</v>
      </c>
      <c r="B19" s="5" t="e">
        <f>IF(ISBLANK(C19),"",VLOOKUP(C19,'Database - Contacts'!$A$2:$D$7708,3,FALSE))</f>
        <v>#N/A</v>
      </c>
      <c r="C19" s="6" t="s">
        <v>4633</v>
      </c>
      <c r="D19" s="5" t="e">
        <f>IF(ISBLANK(C19),"",VLOOKUP(C19,'Database - Contacts'!$A$2:$D$7708,4,FALSE))</f>
        <v>#N/A</v>
      </c>
      <c r="E19" s="8" t="s">
        <v>4641</v>
      </c>
      <c r="F19" s="6" t="s">
        <v>4645</v>
      </c>
      <c r="G19" s="8"/>
    </row>
    <row r="20" spans="1:7" x14ac:dyDescent="0.3">
      <c r="A20" s="5" t="e">
        <f>IF(ISBLANK(C20),"",VLOOKUP(C20,'Database - Contacts'!$A$2:$D$7708,2,FALSE))</f>
        <v>#N/A</v>
      </c>
      <c r="B20" s="5" t="e">
        <f>IF(ISBLANK(C20),"",VLOOKUP(C20,'Database - Contacts'!$A$2:$D$7708,3,FALSE))</f>
        <v>#N/A</v>
      </c>
      <c r="C20" s="6" t="s">
        <v>4634</v>
      </c>
      <c r="D20" s="5" t="e">
        <f>IF(ISBLANK(C20),"",VLOOKUP(C20,'Database - Contacts'!$A$2:$D$7708,4,FALSE))</f>
        <v>#N/A</v>
      </c>
      <c r="E20" s="8" t="s">
        <v>4641</v>
      </c>
      <c r="F20" s="6" t="s">
        <v>4645</v>
      </c>
      <c r="G20" s="8"/>
    </row>
    <row r="21" spans="1:7" x14ac:dyDescent="0.3">
      <c r="A21" s="5" t="e">
        <f>IF(ISBLANK(C21),"",VLOOKUP(C21,'Database - Contacts'!$A$2:$D$7708,2,FALSE))</f>
        <v>#N/A</v>
      </c>
      <c r="B21" s="5" t="e">
        <f>IF(ISBLANK(C21),"",VLOOKUP(C21,'Database - Contacts'!$A$2:$D$7708,3,FALSE))</f>
        <v>#N/A</v>
      </c>
      <c r="C21" s="6" t="s">
        <v>4635</v>
      </c>
      <c r="D21" s="5" t="e">
        <f>IF(ISBLANK(C21),"",VLOOKUP(C21,'Database - Contacts'!$A$2:$D$7708,4,FALSE))</f>
        <v>#N/A</v>
      </c>
      <c r="E21" s="8" t="s">
        <v>4641</v>
      </c>
      <c r="F21" s="6" t="s">
        <v>4645</v>
      </c>
      <c r="G21" s="8"/>
    </row>
    <row r="22" spans="1:7" x14ac:dyDescent="0.3">
      <c r="A22" s="5" t="e">
        <f>IF(ISBLANK(C22),"",VLOOKUP(C22,'Database - Contacts'!$A$2:$D$7708,2,FALSE))</f>
        <v>#N/A</v>
      </c>
      <c r="B22" s="5" t="e">
        <f>IF(ISBLANK(C22),"",VLOOKUP(C22,'Database - Contacts'!$A$2:$D$7708,3,FALSE))</f>
        <v>#N/A</v>
      </c>
      <c r="C22" s="6" t="s">
        <v>4631</v>
      </c>
      <c r="D22" s="5" t="e">
        <f>IF(ISBLANK(C22),"",VLOOKUP(C22,'Database - Contacts'!$A$2:$D$7708,4,FALSE))</f>
        <v>#N/A</v>
      </c>
      <c r="E22" s="8" t="s">
        <v>4641</v>
      </c>
      <c r="F22" s="6" t="s">
        <v>4645</v>
      </c>
      <c r="G22" s="8"/>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E9CC59-CCF7-4254-BFBB-1D91C4F92331}">
  <sheetPr codeName="Sheet3"/>
  <dimension ref="A1:M881"/>
  <sheetViews>
    <sheetView zoomScale="85" zoomScaleNormal="85" workbookViewId="0">
      <pane ySplit="1" topLeftCell="A875" activePane="bottomLeft" state="frozen"/>
      <selection activeCell="O17" sqref="O17"/>
      <selection pane="bottomLeft" activeCell="A881" sqref="A881"/>
    </sheetView>
  </sheetViews>
  <sheetFormatPr defaultRowHeight="14.4" x14ac:dyDescent="0.3"/>
  <cols>
    <col min="1" max="1" width="23.33203125" customWidth="1"/>
    <col min="2" max="2" width="26" customWidth="1"/>
    <col min="3" max="3" width="17.33203125" customWidth="1"/>
    <col min="4" max="4" width="25.5546875" customWidth="1"/>
    <col min="5" max="5" width="53.6640625" customWidth="1"/>
    <col min="6" max="6" width="14.44140625" customWidth="1"/>
    <col min="7" max="7" width="61.6640625" customWidth="1"/>
    <col min="9" max="9" width="11.88671875" bestFit="1" customWidth="1"/>
    <col min="10" max="10" width="11.5546875" bestFit="1" customWidth="1"/>
  </cols>
  <sheetData>
    <row r="1" spans="1:13" s="1" customFormat="1" ht="27.6" customHeight="1" x14ac:dyDescent="0.3">
      <c r="A1" s="3" t="s">
        <v>2</v>
      </c>
      <c r="B1" s="3" t="s">
        <v>0</v>
      </c>
      <c r="C1" s="3" t="s">
        <v>1</v>
      </c>
      <c r="D1" s="4" t="s">
        <v>3</v>
      </c>
      <c r="E1" s="10" t="s">
        <v>11</v>
      </c>
      <c r="F1" s="10" t="s">
        <v>10</v>
      </c>
      <c r="G1" s="10" t="s">
        <v>12</v>
      </c>
      <c r="H1" s="10" t="s">
        <v>13</v>
      </c>
      <c r="I1" s="10" t="s">
        <v>14</v>
      </c>
      <c r="J1" s="1" t="s">
        <v>2192</v>
      </c>
      <c r="K1" s="1" t="s">
        <v>2193</v>
      </c>
      <c r="L1" s="1" t="s">
        <v>2194</v>
      </c>
      <c r="M1" s="1" t="s">
        <v>2195</v>
      </c>
    </row>
    <row r="2" spans="1:13" x14ac:dyDescent="0.3">
      <c r="A2" t="s">
        <v>29</v>
      </c>
      <c r="B2" t="s">
        <v>4189</v>
      </c>
      <c r="C2">
        <v>506398</v>
      </c>
      <c r="D2">
        <v>100303460</v>
      </c>
      <c r="E2" t="s">
        <v>4190</v>
      </c>
      <c r="G2" t="s">
        <v>2198</v>
      </c>
      <c r="H2" t="s">
        <v>2502</v>
      </c>
      <c r="I2" t="s">
        <v>4191</v>
      </c>
      <c r="K2" t="s">
        <v>2343</v>
      </c>
      <c r="L2" t="s">
        <v>4192</v>
      </c>
      <c r="M2" t="s">
        <v>4193</v>
      </c>
    </row>
    <row r="3" spans="1:13" ht="15" customHeight="1" x14ac:dyDescent="0.3">
      <c r="A3" t="s">
        <v>4194</v>
      </c>
      <c r="B3" t="s">
        <v>4189</v>
      </c>
      <c r="C3">
        <v>506398</v>
      </c>
      <c r="D3">
        <v>100303459</v>
      </c>
      <c r="E3" t="s">
        <v>4195</v>
      </c>
      <c r="G3" t="s">
        <v>2198</v>
      </c>
      <c r="H3" t="s">
        <v>2561</v>
      </c>
      <c r="I3" t="s">
        <v>4196</v>
      </c>
      <c r="K3" t="s">
        <v>2343</v>
      </c>
      <c r="L3" t="s">
        <v>4197</v>
      </c>
      <c r="M3" t="s">
        <v>4198</v>
      </c>
    </row>
    <row r="4" spans="1:13" ht="15" customHeight="1" x14ac:dyDescent="0.3">
      <c r="A4" t="s">
        <v>4199</v>
      </c>
      <c r="B4" t="s">
        <v>4189</v>
      </c>
      <c r="C4">
        <v>506398</v>
      </c>
      <c r="D4">
        <v>100303458</v>
      </c>
      <c r="E4" t="s">
        <v>4200</v>
      </c>
      <c r="G4" t="s">
        <v>2198</v>
      </c>
      <c r="H4" t="s">
        <v>2382</v>
      </c>
      <c r="I4" t="s">
        <v>4201</v>
      </c>
      <c r="K4" t="s">
        <v>4202</v>
      </c>
      <c r="L4" t="s">
        <v>4141</v>
      </c>
      <c r="M4" t="s">
        <v>4198</v>
      </c>
    </row>
    <row r="5" spans="1:13" ht="15" customHeight="1" x14ac:dyDescent="0.3">
      <c r="A5" t="s">
        <v>101</v>
      </c>
      <c r="B5" t="s">
        <v>97</v>
      </c>
      <c r="C5">
        <v>7463975</v>
      </c>
      <c r="D5">
        <v>100995058</v>
      </c>
      <c r="E5" t="s">
        <v>4661</v>
      </c>
      <c r="G5" t="s">
        <v>2198</v>
      </c>
      <c r="H5" t="s">
        <v>1129</v>
      </c>
      <c r="I5" t="s">
        <v>1139</v>
      </c>
      <c r="J5" t="s">
        <v>2200</v>
      </c>
      <c r="M5" t="s">
        <v>4662</v>
      </c>
    </row>
    <row r="6" spans="1:13" ht="15" customHeight="1" x14ac:dyDescent="0.3">
      <c r="A6" t="s">
        <v>96</v>
      </c>
      <c r="B6" t="s">
        <v>97</v>
      </c>
      <c r="C6">
        <v>7463975</v>
      </c>
      <c r="D6">
        <v>101035127</v>
      </c>
      <c r="E6" t="s">
        <v>4663</v>
      </c>
      <c r="F6" t="s">
        <v>4664</v>
      </c>
      <c r="G6" t="s">
        <v>2198</v>
      </c>
      <c r="H6" t="s">
        <v>4298</v>
      </c>
      <c r="I6" t="s">
        <v>2567</v>
      </c>
      <c r="K6" t="s">
        <v>2957</v>
      </c>
      <c r="M6" t="s">
        <v>4662</v>
      </c>
    </row>
    <row r="7" spans="1:13" ht="15" customHeight="1" x14ac:dyDescent="0.3">
      <c r="A7" t="s">
        <v>102</v>
      </c>
      <c r="B7" t="s">
        <v>97</v>
      </c>
      <c r="C7">
        <v>7463975</v>
      </c>
      <c r="D7">
        <v>100995056</v>
      </c>
      <c r="E7" t="s">
        <v>4665</v>
      </c>
      <c r="G7" t="s">
        <v>2198</v>
      </c>
      <c r="H7" t="s">
        <v>4666</v>
      </c>
      <c r="I7" t="s">
        <v>4667</v>
      </c>
      <c r="J7" t="s">
        <v>2200</v>
      </c>
      <c r="M7" t="s">
        <v>4662</v>
      </c>
    </row>
    <row r="8" spans="1:13" ht="15" customHeight="1" x14ac:dyDescent="0.3">
      <c r="A8" t="s">
        <v>828</v>
      </c>
      <c r="B8" t="s">
        <v>97</v>
      </c>
      <c r="C8">
        <v>7463975</v>
      </c>
      <c r="D8">
        <v>101077390</v>
      </c>
      <c r="G8" t="s">
        <v>2198</v>
      </c>
      <c r="H8" t="s">
        <v>1101</v>
      </c>
      <c r="I8" t="s">
        <v>1109</v>
      </c>
      <c r="M8" t="s">
        <v>4662</v>
      </c>
    </row>
    <row r="9" spans="1:13" ht="15" customHeight="1" x14ac:dyDescent="0.3">
      <c r="A9" t="s">
        <v>105</v>
      </c>
      <c r="B9" t="s">
        <v>97</v>
      </c>
      <c r="C9">
        <v>7463975</v>
      </c>
      <c r="D9">
        <v>100995057</v>
      </c>
      <c r="E9" t="s">
        <v>4668</v>
      </c>
      <c r="G9" t="s">
        <v>2198</v>
      </c>
      <c r="H9" t="s">
        <v>1141</v>
      </c>
      <c r="I9" t="s">
        <v>2729</v>
      </c>
      <c r="J9" t="s">
        <v>2200</v>
      </c>
      <c r="M9" t="s">
        <v>4662</v>
      </c>
    </row>
    <row r="10" spans="1:13" ht="15" customHeight="1" x14ac:dyDescent="0.3">
      <c r="A10" t="s">
        <v>830</v>
      </c>
      <c r="B10" t="s">
        <v>97</v>
      </c>
      <c r="C10">
        <v>7463975</v>
      </c>
      <c r="D10">
        <v>101077391</v>
      </c>
      <c r="G10" t="s">
        <v>2198</v>
      </c>
      <c r="H10" t="s">
        <v>1103</v>
      </c>
      <c r="I10" t="s">
        <v>1112</v>
      </c>
      <c r="M10" t="s">
        <v>4662</v>
      </c>
    </row>
    <row r="11" spans="1:13" ht="15" customHeight="1" x14ac:dyDescent="0.3">
      <c r="A11" t="s">
        <v>4231</v>
      </c>
      <c r="B11" t="s">
        <v>4232</v>
      </c>
      <c r="C11">
        <v>80115240</v>
      </c>
      <c r="D11">
        <v>120210005</v>
      </c>
      <c r="E11" t="s">
        <v>4233</v>
      </c>
      <c r="G11" t="s">
        <v>2198</v>
      </c>
      <c r="H11" t="s">
        <v>2382</v>
      </c>
      <c r="I11" t="s">
        <v>4234</v>
      </c>
      <c r="J11" t="s">
        <v>2200</v>
      </c>
    </row>
    <row r="12" spans="1:13" ht="15" customHeight="1" x14ac:dyDescent="0.3">
      <c r="A12" t="s">
        <v>4669</v>
      </c>
      <c r="B12" t="s">
        <v>4670</v>
      </c>
      <c r="C12">
        <v>7493671</v>
      </c>
      <c r="D12">
        <v>101039822</v>
      </c>
      <c r="E12" t="s">
        <v>4671</v>
      </c>
      <c r="G12" t="s">
        <v>2198</v>
      </c>
      <c r="H12" t="s">
        <v>4672</v>
      </c>
      <c r="I12" t="s">
        <v>4673</v>
      </c>
      <c r="J12" t="s">
        <v>2898</v>
      </c>
      <c r="M12" t="s">
        <v>4674</v>
      </c>
    </row>
    <row r="13" spans="1:13" ht="15" customHeight="1" x14ac:dyDescent="0.3">
      <c r="A13" t="s">
        <v>4237</v>
      </c>
      <c r="B13" t="s">
        <v>4238</v>
      </c>
      <c r="C13">
        <v>120095274</v>
      </c>
      <c r="D13">
        <v>120095275</v>
      </c>
      <c r="E13" t="s">
        <v>4239</v>
      </c>
      <c r="G13" t="s">
        <v>2198</v>
      </c>
      <c r="H13" t="s">
        <v>4240</v>
      </c>
      <c r="I13" t="s">
        <v>4241</v>
      </c>
      <c r="L13" t="s">
        <v>4242</v>
      </c>
      <c r="M13" t="s">
        <v>4243</v>
      </c>
    </row>
    <row r="14" spans="1:13" ht="15" customHeight="1" x14ac:dyDescent="0.3">
      <c r="A14" t="s">
        <v>4244</v>
      </c>
      <c r="B14" t="s">
        <v>4238</v>
      </c>
      <c r="C14">
        <v>120095274</v>
      </c>
      <c r="D14">
        <v>120202299</v>
      </c>
      <c r="E14" t="s">
        <v>4245</v>
      </c>
      <c r="G14" t="s">
        <v>2386</v>
      </c>
      <c r="H14" t="s">
        <v>1153</v>
      </c>
      <c r="I14" t="s">
        <v>4246</v>
      </c>
      <c r="L14" t="s">
        <v>4247</v>
      </c>
      <c r="M14" t="s">
        <v>4248</v>
      </c>
    </row>
    <row r="15" spans="1:13" ht="15" customHeight="1" x14ac:dyDescent="0.3">
      <c r="A15" t="s">
        <v>67</v>
      </c>
      <c r="B15" t="s">
        <v>4675</v>
      </c>
      <c r="C15">
        <v>7477816</v>
      </c>
      <c r="D15">
        <v>101004326</v>
      </c>
      <c r="E15" t="s">
        <v>4676</v>
      </c>
      <c r="G15" t="s">
        <v>2198</v>
      </c>
      <c r="H15" t="s">
        <v>2409</v>
      </c>
      <c r="I15" t="s">
        <v>4677</v>
      </c>
      <c r="J15" t="s">
        <v>2200</v>
      </c>
    </row>
    <row r="16" spans="1:13" ht="15" customHeight="1" x14ac:dyDescent="0.3">
      <c r="A16" t="s">
        <v>4678</v>
      </c>
      <c r="B16" t="s">
        <v>4675</v>
      </c>
      <c r="C16">
        <v>7477816</v>
      </c>
      <c r="D16">
        <v>120147421</v>
      </c>
      <c r="E16" t="s">
        <v>4679</v>
      </c>
      <c r="G16" t="s">
        <v>2198</v>
      </c>
      <c r="H16" t="s">
        <v>1157</v>
      </c>
      <c r="I16" t="s">
        <v>4680</v>
      </c>
    </row>
    <row r="17" spans="1:13" ht="15" customHeight="1" x14ac:dyDescent="0.3">
      <c r="A17" t="s">
        <v>2865</v>
      </c>
      <c r="B17" t="s">
        <v>2866</v>
      </c>
      <c r="C17">
        <v>120172600</v>
      </c>
      <c r="D17">
        <v>120172601</v>
      </c>
      <c r="E17" t="s">
        <v>2867</v>
      </c>
      <c r="G17" t="s">
        <v>2198</v>
      </c>
      <c r="H17" t="s">
        <v>1164</v>
      </c>
      <c r="I17" t="s">
        <v>2897</v>
      </c>
      <c r="J17" t="s">
        <v>2898</v>
      </c>
      <c r="L17" t="s">
        <v>2899</v>
      </c>
      <c r="M17" t="s">
        <v>2900</v>
      </c>
    </row>
    <row r="18" spans="1:13" ht="15" customHeight="1" x14ac:dyDescent="0.3">
      <c r="A18" t="s">
        <v>56</v>
      </c>
      <c r="B18" t="s">
        <v>4296</v>
      </c>
      <c r="C18">
        <v>7467067</v>
      </c>
      <c r="D18">
        <v>100997852</v>
      </c>
      <c r="E18" t="s">
        <v>4297</v>
      </c>
      <c r="G18" t="s">
        <v>2198</v>
      </c>
      <c r="H18" t="s">
        <v>4298</v>
      </c>
      <c r="I18" t="s">
        <v>4299</v>
      </c>
      <c r="M18" t="s">
        <v>4300</v>
      </c>
    </row>
    <row r="19" spans="1:13" ht="15" customHeight="1" x14ac:dyDescent="0.3">
      <c r="A19" t="s">
        <v>4301</v>
      </c>
      <c r="B19" t="s">
        <v>4296</v>
      </c>
      <c r="C19">
        <v>7467067</v>
      </c>
      <c r="D19">
        <v>101095811</v>
      </c>
      <c r="E19" t="s">
        <v>4302</v>
      </c>
      <c r="G19" t="s">
        <v>2198</v>
      </c>
      <c r="H19" t="s">
        <v>1269</v>
      </c>
      <c r="I19" t="s">
        <v>4303</v>
      </c>
      <c r="M19" t="s">
        <v>4300</v>
      </c>
    </row>
    <row r="20" spans="1:13" ht="15" customHeight="1" x14ac:dyDescent="0.3">
      <c r="A20" t="s">
        <v>4304</v>
      </c>
      <c r="B20" t="s">
        <v>4296</v>
      </c>
      <c r="C20">
        <v>7467067</v>
      </c>
      <c r="D20">
        <v>101036492</v>
      </c>
      <c r="E20" t="s">
        <v>4305</v>
      </c>
      <c r="G20" t="s">
        <v>2198</v>
      </c>
      <c r="H20" t="s">
        <v>4306</v>
      </c>
      <c r="I20" t="s">
        <v>4307</v>
      </c>
      <c r="M20" t="s">
        <v>4300</v>
      </c>
    </row>
    <row r="21" spans="1:13" ht="15" customHeight="1" x14ac:dyDescent="0.3">
      <c r="A21" t="s">
        <v>118</v>
      </c>
      <c r="B21" t="s">
        <v>4296</v>
      </c>
      <c r="C21">
        <v>7467067</v>
      </c>
      <c r="D21">
        <v>101036471</v>
      </c>
      <c r="E21" t="s">
        <v>4308</v>
      </c>
      <c r="G21" t="s">
        <v>2198</v>
      </c>
      <c r="H21" t="s">
        <v>2310</v>
      </c>
      <c r="I21" t="s">
        <v>4309</v>
      </c>
      <c r="M21" t="s">
        <v>4300</v>
      </c>
    </row>
    <row r="22" spans="1:13" ht="15" customHeight="1" x14ac:dyDescent="0.3">
      <c r="A22" t="s">
        <v>58</v>
      </c>
      <c r="B22" t="s">
        <v>4296</v>
      </c>
      <c r="C22">
        <v>7467067</v>
      </c>
      <c r="D22">
        <v>100997850</v>
      </c>
      <c r="E22" t="s">
        <v>4310</v>
      </c>
      <c r="F22" t="s">
        <v>4311</v>
      </c>
      <c r="G22" t="s">
        <v>2198</v>
      </c>
      <c r="H22" t="s">
        <v>1226</v>
      </c>
      <c r="I22" t="s">
        <v>4312</v>
      </c>
      <c r="M22" t="s">
        <v>4300</v>
      </c>
    </row>
    <row r="23" spans="1:13" ht="15" customHeight="1" x14ac:dyDescent="0.3">
      <c r="A23" t="s">
        <v>86</v>
      </c>
      <c r="B23" t="s">
        <v>4296</v>
      </c>
      <c r="C23">
        <v>7467067</v>
      </c>
      <c r="D23">
        <v>101035131</v>
      </c>
      <c r="E23" t="s">
        <v>4313</v>
      </c>
      <c r="G23" t="s">
        <v>2198</v>
      </c>
      <c r="H23" t="s">
        <v>4314</v>
      </c>
      <c r="I23" t="s">
        <v>4315</v>
      </c>
      <c r="M23" t="s">
        <v>4300</v>
      </c>
    </row>
    <row r="24" spans="1:13" ht="15" customHeight="1" x14ac:dyDescent="0.3">
      <c r="A24" t="s">
        <v>87</v>
      </c>
      <c r="B24" t="s">
        <v>4296</v>
      </c>
      <c r="C24">
        <v>7467067</v>
      </c>
      <c r="D24">
        <v>101035132</v>
      </c>
      <c r="E24" t="s">
        <v>4316</v>
      </c>
      <c r="G24" t="s">
        <v>2198</v>
      </c>
      <c r="H24" t="s">
        <v>3250</v>
      </c>
      <c r="I24" t="s">
        <v>4317</v>
      </c>
      <c r="M24" t="s">
        <v>4300</v>
      </c>
    </row>
    <row r="25" spans="1:13" ht="15" customHeight="1" x14ac:dyDescent="0.3">
      <c r="A25" t="s">
        <v>85</v>
      </c>
      <c r="B25" t="s">
        <v>4296</v>
      </c>
      <c r="C25">
        <v>7467067</v>
      </c>
      <c r="D25">
        <v>101035130</v>
      </c>
      <c r="E25" t="s">
        <v>4318</v>
      </c>
      <c r="G25" t="s">
        <v>2198</v>
      </c>
      <c r="H25" t="s">
        <v>1192</v>
      </c>
      <c r="I25" t="s">
        <v>4319</v>
      </c>
      <c r="M25" t="s">
        <v>4300</v>
      </c>
    </row>
    <row r="26" spans="1:13" ht="15" customHeight="1" x14ac:dyDescent="0.3">
      <c r="A26" t="s">
        <v>59</v>
      </c>
      <c r="B26" t="s">
        <v>4296</v>
      </c>
      <c r="C26">
        <v>7467067</v>
      </c>
      <c r="D26">
        <v>100997851</v>
      </c>
      <c r="E26" t="s">
        <v>4320</v>
      </c>
      <c r="F26" t="s">
        <v>4321</v>
      </c>
      <c r="G26" t="s">
        <v>2198</v>
      </c>
      <c r="H26" t="s">
        <v>1244</v>
      </c>
      <c r="I26" t="s">
        <v>4322</v>
      </c>
      <c r="M26" t="s">
        <v>4300</v>
      </c>
    </row>
    <row r="27" spans="1:13" ht="15" customHeight="1" x14ac:dyDescent="0.3">
      <c r="A27" t="s">
        <v>886</v>
      </c>
      <c r="B27" t="s">
        <v>4681</v>
      </c>
      <c r="C27">
        <v>7411261</v>
      </c>
      <c r="D27">
        <v>100923100</v>
      </c>
      <c r="E27" t="s">
        <v>888</v>
      </c>
      <c r="G27" t="s">
        <v>2198</v>
      </c>
      <c r="H27" t="s">
        <v>1129</v>
      </c>
      <c r="I27" t="s">
        <v>1140</v>
      </c>
      <c r="J27" t="s">
        <v>2200</v>
      </c>
      <c r="K27" t="s">
        <v>2431</v>
      </c>
      <c r="M27" t="s">
        <v>4682</v>
      </c>
    </row>
    <row r="28" spans="1:13" ht="15" customHeight="1" x14ac:dyDescent="0.3">
      <c r="A28" t="s">
        <v>4683</v>
      </c>
      <c r="B28" t="s">
        <v>4681</v>
      </c>
      <c r="C28">
        <v>7411261</v>
      </c>
      <c r="D28">
        <v>100923102</v>
      </c>
      <c r="E28" t="s">
        <v>4684</v>
      </c>
      <c r="G28" t="s">
        <v>2198</v>
      </c>
      <c r="I28" t="s">
        <v>2343</v>
      </c>
      <c r="M28" t="s">
        <v>4685</v>
      </c>
    </row>
    <row r="29" spans="1:13" ht="15" customHeight="1" x14ac:dyDescent="0.3">
      <c r="A29" t="s">
        <v>890</v>
      </c>
      <c r="B29" t="s">
        <v>4681</v>
      </c>
      <c r="C29">
        <v>7411261</v>
      </c>
      <c r="D29">
        <v>100923101</v>
      </c>
      <c r="E29" t="s">
        <v>891</v>
      </c>
      <c r="G29" t="s">
        <v>2198</v>
      </c>
      <c r="H29" t="s">
        <v>1141</v>
      </c>
      <c r="I29" t="s">
        <v>1142</v>
      </c>
      <c r="M29" t="s">
        <v>4685</v>
      </c>
    </row>
    <row r="30" spans="1:13" ht="15" customHeight="1" x14ac:dyDescent="0.3">
      <c r="A30" t="s">
        <v>4686</v>
      </c>
      <c r="B30" t="s">
        <v>4687</v>
      </c>
      <c r="C30">
        <v>7461439</v>
      </c>
      <c r="D30">
        <v>100992738</v>
      </c>
      <c r="E30" t="s">
        <v>4688</v>
      </c>
      <c r="G30" t="s">
        <v>4689</v>
      </c>
      <c r="H30" t="s">
        <v>4690</v>
      </c>
      <c r="I30" t="s">
        <v>4691</v>
      </c>
      <c r="M30" t="s">
        <v>4692</v>
      </c>
    </row>
    <row r="31" spans="1:13" ht="15" customHeight="1" x14ac:dyDescent="0.3">
      <c r="A31" t="s">
        <v>4693</v>
      </c>
      <c r="B31" t="s">
        <v>4687</v>
      </c>
      <c r="C31">
        <v>7461439</v>
      </c>
      <c r="D31">
        <v>100992739</v>
      </c>
      <c r="G31" t="s">
        <v>2386</v>
      </c>
      <c r="H31" t="s">
        <v>1267</v>
      </c>
      <c r="I31" t="s">
        <v>2237</v>
      </c>
      <c r="K31" t="s">
        <v>4694</v>
      </c>
      <c r="M31" t="s">
        <v>4692</v>
      </c>
    </row>
    <row r="32" spans="1:13" ht="15" customHeight="1" x14ac:dyDescent="0.3">
      <c r="A32" t="s">
        <v>98</v>
      </c>
      <c r="B32" t="s">
        <v>4687</v>
      </c>
      <c r="C32">
        <v>7461439</v>
      </c>
      <c r="D32">
        <v>100992736</v>
      </c>
      <c r="E32" t="s">
        <v>4695</v>
      </c>
      <c r="F32" t="s">
        <v>4696</v>
      </c>
      <c r="G32" t="s">
        <v>2198</v>
      </c>
      <c r="H32" t="s">
        <v>1133</v>
      </c>
      <c r="I32" t="s">
        <v>4697</v>
      </c>
      <c r="K32" t="s">
        <v>4006</v>
      </c>
      <c r="M32" t="s">
        <v>4692</v>
      </c>
    </row>
    <row r="33" spans="1:13" ht="15" customHeight="1" x14ac:dyDescent="0.3">
      <c r="A33" t="s">
        <v>4698</v>
      </c>
      <c r="B33" t="s">
        <v>4687</v>
      </c>
      <c r="C33">
        <v>7461439</v>
      </c>
      <c r="D33">
        <v>100992737</v>
      </c>
      <c r="E33" t="s">
        <v>4699</v>
      </c>
      <c r="F33" t="s">
        <v>4700</v>
      </c>
      <c r="G33" t="s">
        <v>2198</v>
      </c>
      <c r="H33" t="s">
        <v>1084</v>
      </c>
      <c r="I33" t="s">
        <v>2407</v>
      </c>
      <c r="K33" t="s">
        <v>4701</v>
      </c>
      <c r="M33" t="s">
        <v>4692</v>
      </c>
    </row>
    <row r="34" spans="1:13" ht="15" customHeight="1" x14ac:dyDescent="0.3">
      <c r="A34" t="s">
        <v>100</v>
      </c>
      <c r="B34" t="s">
        <v>4687</v>
      </c>
      <c r="C34">
        <v>7461439</v>
      </c>
      <c r="D34">
        <v>101035160</v>
      </c>
      <c r="E34" t="s">
        <v>4702</v>
      </c>
      <c r="G34" t="s">
        <v>2198</v>
      </c>
      <c r="H34" t="s">
        <v>18</v>
      </c>
      <c r="I34" t="s">
        <v>4703</v>
      </c>
      <c r="M34" t="s">
        <v>4692</v>
      </c>
    </row>
    <row r="35" spans="1:13" ht="15" customHeight="1" x14ac:dyDescent="0.3">
      <c r="A35" t="s">
        <v>4704</v>
      </c>
      <c r="B35" t="s">
        <v>51</v>
      </c>
      <c r="C35">
        <v>7434304</v>
      </c>
      <c r="D35">
        <v>100946211</v>
      </c>
      <c r="E35" t="s">
        <v>4705</v>
      </c>
      <c r="F35" t="s">
        <v>4706</v>
      </c>
      <c r="G35" t="s">
        <v>2198</v>
      </c>
      <c r="H35" t="s">
        <v>4298</v>
      </c>
      <c r="I35" t="s">
        <v>4707</v>
      </c>
      <c r="M35" t="s">
        <v>4708</v>
      </c>
    </row>
    <row r="36" spans="1:13" ht="15" customHeight="1" x14ac:dyDescent="0.3">
      <c r="A36" t="s">
        <v>50</v>
      </c>
      <c r="B36" t="s">
        <v>51</v>
      </c>
      <c r="C36">
        <v>7434304</v>
      </c>
      <c r="D36">
        <v>100946212</v>
      </c>
      <c r="F36" t="s">
        <v>4709</v>
      </c>
      <c r="G36" t="s">
        <v>2198</v>
      </c>
      <c r="H36" t="s">
        <v>4710</v>
      </c>
      <c r="I36" t="s">
        <v>4711</v>
      </c>
      <c r="J36" t="s">
        <v>2200</v>
      </c>
      <c r="K36" t="s">
        <v>4712</v>
      </c>
      <c r="M36" t="s">
        <v>4708</v>
      </c>
    </row>
    <row r="37" spans="1:13" ht="15" customHeight="1" x14ac:dyDescent="0.3">
      <c r="A37" t="s">
        <v>4713</v>
      </c>
      <c r="B37" t="s">
        <v>51</v>
      </c>
      <c r="C37">
        <v>7434304</v>
      </c>
      <c r="D37">
        <v>100946214</v>
      </c>
      <c r="E37" t="s">
        <v>4714</v>
      </c>
      <c r="G37" t="s">
        <v>2198</v>
      </c>
      <c r="H37" t="s">
        <v>4211</v>
      </c>
      <c r="I37" t="s">
        <v>4715</v>
      </c>
    </row>
    <row r="38" spans="1:13" ht="15" customHeight="1" x14ac:dyDescent="0.3">
      <c r="A38" t="s">
        <v>4716</v>
      </c>
      <c r="B38" t="s">
        <v>51</v>
      </c>
      <c r="C38">
        <v>7434304</v>
      </c>
      <c r="D38">
        <v>100946213</v>
      </c>
      <c r="E38" t="s">
        <v>4717</v>
      </c>
      <c r="F38" t="s">
        <v>4718</v>
      </c>
      <c r="G38" t="s">
        <v>2198</v>
      </c>
      <c r="H38" t="s">
        <v>1358</v>
      </c>
      <c r="I38" t="s">
        <v>2519</v>
      </c>
      <c r="M38" t="s">
        <v>4719</v>
      </c>
    </row>
    <row r="39" spans="1:13" ht="15" customHeight="1" x14ac:dyDescent="0.3">
      <c r="A39" t="s">
        <v>4720</v>
      </c>
      <c r="B39" t="s">
        <v>4721</v>
      </c>
      <c r="C39">
        <v>518728</v>
      </c>
      <c r="D39">
        <v>100310385</v>
      </c>
      <c r="F39" t="s">
        <v>4722</v>
      </c>
      <c r="G39" t="s">
        <v>2198</v>
      </c>
      <c r="H39" t="s">
        <v>1162</v>
      </c>
      <c r="I39" t="s">
        <v>4723</v>
      </c>
      <c r="K39" t="s">
        <v>2343</v>
      </c>
      <c r="L39" t="s">
        <v>4724</v>
      </c>
      <c r="M39" t="s">
        <v>4725</v>
      </c>
    </row>
    <row r="40" spans="1:13" ht="15" customHeight="1" x14ac:dyDescent="0.3">
      <c r="A40" t="s">
        <v>128</v>
      </c>
      <c r="B40" t="s">
        <v>4721</v>
      </c>
      <c r="C40">
        <v>518728</v>
      </c>
      <c r="D40">
        <v>100310372</v>
      </c>
      <c r="E40" t="s">
        <v>4726</v>
      </c>
      <c r="F40" t="s">
        <v>4727</v>
      </c>
      <c r="G40" t="s">
        <v>2198</v>
      </c>
      <c r="H40" t="s">
        <v>2556</v>
      </c>
      <c r="I40" t="s">
        <v>2425</v>
      </c>
      <c r="K40" t="s">
        <v>2431</v>
      </c>
      <c r="L40" t="s">
        <v>4611</v>
      </c>
      <c r="M40" t="s">
        <v>4728</v>
      </c>
    </row>
    <row r="41" spans="1:13" ht="15" customHeight="1" x14ac:dyDescent="0.3">
      <c r="A41" t="s">
        <v>4729</v>
      </c>
      <c r="B41" t="s">
        <v>4721</v>
      </c>
      <c r="C41">
        <v>518728</v>
      </c>
      <c r="D41">
        <v>100310376</v>
      </c>
      <c r="F41" t="s">
        <v>4722</v>
      </c>
      <c r="G41" t="s">
        <v>2198</v>
      </c>
      <c r="H41" t="s">
        <v>1125</v>
      </c>
      <c r="I41" t="s">
        <v>4730</v>
      </c>
      <c r="K41" t="s">
        <v>2343</v>
      </c>
      <c r="L41" t="s">
        <v>4724</v>
      </c>
      <c r="M41" t="s">
        <v>4725</v>
      </c>
    </row>
    <row r="42" spans="1:13" ht="15" customHeight="1" x14ac:dyDescent="0.3">
      <c r="A42" t="s">
        <v>4731</v>
      </c>
      <c r="B42" t="s">
        <v>4721</v>
      </c>
      <c r="C42">
        <v>518728</v>
      </c>
      <c r="D42">
        <v>100310389</v>
      </c>
      <c r="E42" t="s">
        <v>4732</v>
      </c>
      <c r="F42" t="s">
        <v>4733</v>
      </c>
      <c r="G42" t="s">
        <v>2198</v>
      </c>
      <c r="H42" t="s">
        <v>4734</v>
      </c>
      <c r="I42" t="s">
        <v>4346</v>
      </c>
      <c r="J42" t="s">
        <v>2200</v>
      </c>
      <c r="M42" t="s">
        <v>4728</v>
      </c>
    </row>
    <row r="43" spans="1:13" ht="15" customHeight="1" x14ac:dyDescent="0.3">
      <c r="A43" t="s">
        <v>4735</v>
      </c>
      <c r="B43" t="s">
        <v>4721</v>
      </c>
      <c r="C43">
        <v>518728</v>
      </c>
      <c r="D43">
        <v>100310387</v>
      </c>
      <c r="F43" t="s">
        <v>4722</v>
      </c>
      <c r="G43" t="s">
        <v>2198</v>
      </c>
      <c r="H43" t="s">
        <v>4736</v>
      </c>
      <c r="I43" t="s">
        <v>4737</v>
      </c>
      <c r="K43" t="s">
        <v>2343</v>
      </c>
      <c r="L43" t="s">
        <v>4724</v>
      </c>
      <c r="M43" t="s">
        <v>4725</v>
      </c>
    </row>
    <row r="44" spans="1:13" ht="15" customHeight="1" x14ac:dyDescent="0.3">
      <c r="A44" t="s">
        <v>4738</v>
      </c>
      <c r="B44" t="s">
        <v>4721</v>
      </c>
      <c r="C44">
        <v>518728</v>
      </c>
      <c r="D44">
        <v>100310381</v>
      </c>
      <c r="E44" t="s">
        <v>4739</v>
      </c>
      <c r="F44" t="s">
        <v>4740</v>
      </c>
      <c r="G44" t="s">
        <v>2198</v>
      </c>
      <c r="H44" t="s">
        <v>4741</v>
      </c>
      <c r="I44" t="s">
        <v>2384</v>
      </c>
      <c r="K44" t="s">
        <v>2431</v>
      </c>
      <c r="L44" t="s">
        <v>4074</v>
      </c>
      <c r="M44" t="s">
        <v>4742</v>
      </c>
    </row>
    <row r="45" spans="1:13" ht="15" customHeight="1" x14ac:dyDescent="0.3">
      <c r="A45" t="s">
        <v>4743</v>
      </c>
      <c r="B45" t="s">
        <v>4721</v>
      </c>
      <c r="C45">
        <v>518728</v>
      </c>
      <c r="D45">
        <v>101042486</v>
      </c>
      <c r="E45" t="s">
        <v>4744</v>
      </c>
      <c r="G45" t="s">
        <v>2198</v>
      </c>
      <c r="H45" t="s">
        <v>1241</v>
      </c>
      <c r="I45" t="s">
        <v>2260</v>
      </c>
      <c r="M45" t="s">
        <v>4728</v>
      </c>
    </row>
    <row r="46" spans="1:13" ht="15" customHeight="1" x14ac:dyDescent="0.3">
      <c r="A46" t="s">
        <v>127</v>
      </c>
      <c r="B46" t="s">
        <v>4721</v>
      </c>
      <c r="C46">
        <v>518728</v>
      </c>
      <c r="D46">
        <v>100310384</v>
      </c>
      <c r="F46" t="s">
        <v>4722</v>
      </c>
      <c r="G46" t="s">
        <v>2198</v>
      </c>
      <c r="H46" t="s">
        <v>2921</v>
      </c>
      <c r="I46" t="s">
        <v>4745</v>
      </c>
      <c r="K46" t="s">
        <v>2343</v>
      </c>
      <c r="L46" t="s">
        <v>4724</v>
      </c>
      <c r="M46" t="s">
        <v>4725</v>
      </c>
    </row>
    <row r="47" spans="1:13" ht="15" customHeight="1" x14ac:dyDescent="0.3">
      <c r="A47" t="s">
        <v>4746</v>
      </c>
      <c r="B47" t="s">
        <v>4721</v>
      </c>
      <c r="C47">
        <v>518728</v>
      </c>
      <c r="D47">
        <v>100310382</v>
      </c>
      <c r="F47" t="s">
        <v>4722</v>
      </c>
      <c r="G47" t="s">
        <v>2198</v>
      </c>
      <c r="H47" t="s">
        <v>4747</v>
      </c>
      <c r="I47" t="s">
        <v>4748</v>
      </c>
      <c r="K47" t="s">
        <v>2343</v>
      </c>
      <c r="L47" t="s">
        <v>4724</v>
      </c>
      <c r="M47" t="s">
        <v>4725</v>
      </c>
    </row>
    <row r="48" spans="1:13" ht="15" customHeight="1" x14ac:dyDescent="0.3">
      <c r="A48" t="s">
        <v>4749</v>
      </c>
      <c r="B48" t="s">
        <v>4721</v>
      </c>
      <c r="C48">
        <v>518728</v>
      </c>
      <c r="D48">
        <v>100310390</v>
      </c>
      <c r="E48" t="s">
        <v>4750</v>
      </c>
      <c r="F48" t="s">
        <v>4751</v>
      </c>
      <c r="G48" t="s">
        <v>2198</v>
      </c>
      <c r="H48" t="s">
        <v>1125</v>
      </c>
      <c r="I48" t="s">
        <v>4752</v>
      </c>
      <c r="J48" t="s">
        <v>2200</v>
      </c>
      <c r="M48" t="s">
        <v>4728</v>
      </c>
    </row>
    <row r="49" spans="1:13" ht="15" customHeight="1" x14ac:dyDescent="0.3">
      <c r="A49" t="s">
        <v>4753</v>
      </c>
      <c r="B49" t="s">
        <v>4721</v>
      </c>
      <c r="C49">
        <v>518728</v>
      </c>
      <c r="D49">
        <v>100310383</v>
      </c>
      <c r="F49" t="s">
        <v>4722</v>
      </c>
      <c r="G49" t="s">
        <v>2198</v>
      </c>
      <c r="H49" t="s">
        <v>1129</v>
      </c>
      <c r="I49" t="s">
        <v>1103</v>
      </c>
      <c r="K49" t="s">
        <v>2343</v>
      </c>
      <c r="L49" t="s">
        <v>4724</v>
      </c>
      <c r="M49" t="s">
        <v>4725</v>
      </c>
    </row>
    <row r="50" spans="1:13" ht="15" customHeight="1" x14ac:dyDescent="0.3">
      <c r="A50" t="s">
        <v>4754</v>
      </c>
      <c r="B50" t="s">
        <v>4721</v>
      </c>
      <c r="C50">
        <v>518728</v>
      </c>
      <c r="D50">
        <v>100310373</v>
      </c>
      <c r="F50" t="s">
        <v>4722</v>
      </c>
      <c r="G50" t="s">
        <v>2198</v>
      </c>
      <c r="H50" t="s">
        <v>4755</v>
      </c>
      <c r="I50" t="s">
        <v>4756</v>
      </c>
      <c r="K50" t="s">
        <v>2343</v>
      </c>
      <c r="L50" t="s">
        <v>4724</v>
      </c>
      <c r="M50" t="s">
        <v>4725</v>
      </c>
    </row>
    <row r="51" spans="1:13" ht="15" customHeight="1" x14ac:dyDescent="0.3">
      <c r="A51" t="s">
        <v>4757</v>
      </c>
      <c r="B51" t="s">
        <v>4721</v>
      </c>
      <c r="C51">
        <v>518728</v>
      </c>
      <c r="D51">
        <v>100310377</v>
      </c>
      <c r="F51" t="s">
        <v>4722</v>
      </c>
      <c r="G51" t="s">
        <v>2198</v>
      </c>
      <c r="H51" t="s">
        <v>1091</v>
      </c>
      <c r="I51" t="s">
        <v>3313</v>
      </c>
      <c r="K51" t="s">
        <v>2343</v>
      </c>
      <c r="L51" t="s">
        <v>4724</v>
      </c>
      <c r="M51" t="s">
        <v>4725</v>
      </c>
    </row>
    <row r="52" spans="1:13" ht="15" customHeight="1" x14ac:dyDescent="0.3">
      <c r="A52" t="s">
        <v>4758</v>
      </c>
      <c r="B52" t="s">
        <v>4721</v>
      </c>
      <c r="C52">
        <v>518728</v>
      </c>
      <c r="D52">
        <v>100310379</v>
      </c>
      <c r="E52" t="s">
        <v>4759</v>
      </c>
      <c r="F52" t="s">
        <v>4722</v>
      </c>
      <c r="G52" t="s">
        <v>2198</v>
      </c>
      <c r="H52" t="s">
        <v>4760</v>
      </c>
      <c r="I52" t="s">
        <v>4602</v>
      </c>
      <c r="K52" t="s">
        <v>2343</v>
      </c>
      <c r="L52" t="s">
        <v>4761</v>
      </c>
      <c r="M52" t="s">
        <v>4725</v>
      </c>
    </row>
    <row r="53" spans="1:13" ht="15" customHeight="1" x14ac:dyDescent="0.3">
      <c r="A53" t="s">
        <v>4762</v>
      </c>
      <c r="B53" t="s">
        <v>4721</v>
      </c>
      <c r="C53">
        <v>518728</v>
      </c>
      <c r="D53">
        <v>100310374</v>
      </c>
      <c r="E53" t="s">
        <v>4763</v>
      </c>
      <c r="F53" t="s">
        <v>4727</v>
      </c>
      <c r="G53" t="s">
        <v>2198</v>
      </c>
      <c r="H53" t="s">
        <v>2653</v>
      </c>
      <c r="I53" t="s">
        <v>4764</v>
      </c>
      <c r="K53" t="s">
        <v>2431</v>
      </c>
      <c r="L53" t="s">
        <v>2481</v>
      </c>
      <c r="M53" t="s">
        <v>4728</v>
      </c>
    </row>
    <row r="54" spans="1:13" ht="15" customHeight="1" x14ac:dyDescent="0.3">
      <c r="A54" t="s">
        <v>4765</v>
      </c>
      <c r="B54" t="s">
        <v>4721</v>
      </c>
      <c r="C54">
        <v>518728</v>
      </c>
      <c r="D54">
        <v>100310378</v>
      </c>
      <c r="F54" t="s">
        <v>4722</v>
      </c>
      <c r="G54" t="s">
        <v>2198</v>
      </c>
      <c r="H54" t="s">
        <v>2370</v>
      </c>
      <c r="I54" t="s">
        <v>4766</v>
      </c>
      <c r="K54" t="s">
        <v>2343</v>
      </c>
      <c r="L54" t="s">
        <v>4724</v>
      </c>
      <c r="M54" t="s">
        <v>4725</v>
      </c>
    </row>
    <row r="55" spans="1:13" ht="15" customHeight="1" x14ac:dyDescent="0.3">
      <c r="A55" t="s">
        <v>4767</v>
      </c>
      <c r="B55" t="s">
        <v>4721</v>
      </c>
      <c r="C55">
        <v>518728</v>
      </c>
      <c r="D55">
        <v>100310380</v>
      </c>
      <c r="F55" t="s">
        <v>4722</v>
      </c>
      <c r="G55" t="s">
        <v>2198</v>
      </c>
      <c r="H55" t="s">
        <v>4768</v>
      </c>
      <c r="I55" t="s">
        <v>4769</v>
      </c>
      <c r="K55" t="s">
        <v>2343</v>
      </c>
      <c r="L55" t="s">
        <v>4724</v>
      </c>
      <c r="M55" t="s">
        <v>4725</v>
      </c>
    </row>
    <row r="56" spans="1:13" ht="15" customHeight="1" x14ac:dyDescent="0.3">
      <c r="A56" t="s">
        <v>4770</v>
      </c>
      <c r="B56" t="s">
        <v>4721</v>
      </c>
      <c r="C56">
        <v>518728</v>
      </c>
      <c r="D56">
        <v>100310375</v>
      </c>
      <c r="F56" t="s">
        <v>4722</v>
      </c>
      <c r="G56" t="s">
        <v>2198</v>
      </c>
      <c r="H56" t="s">
        <v>1182</v>
      </c>
      <c r="I56" t="s">
        <v>4771</v>
      </c>
      <c r="K56" t="s">
        <v>2343</v>
      </c>
      <c r="L56" t="s">
        <v>4724</v>
      </c>
      <c r="M56" t="s">
        <v>4725</v>
      </c>
    </row>
    <row r="57" spans="1:13" ht="15" customHeight="1" x14ac:dyDescent="0.3">
      <c r="A57" t="s">
        <v>4772</v>
      </c>
      <c r="B57" t="s">
        <v>4721</v>
      </c>
      <c r="C57">
        <v>518728</v>
      </c>
      <c r="D57">
        <v>100310386</v>
      </c>
      <c r="F57" t="s">
        <v>4722</v>
      </c>
      <c r="G57" t="s">
        <v>2198</v>
      </c>
      <c r="H57" t="s">
        <v>2598</v>
      </c>
      <c r="I57" t="s">
        <v>4773</v>
      </c>
      <c r="K57" t="s">
        <v>2343</v>
      </c>
      <c r="L57" t="s">
        <v>4724</v>
      </c>
      <c r="M57" t="s">
        <v>4725</v>
      </c>
    </row>
    <row r="58" spans="1:13" ht="15" customHeight="1" x14ac:dyDescent="0.3">
      <c r="A58" t="s">
        <v>868</v>
      </c>
      <c r="B58" t="s">
        <v>4430</v>
      </c>
      <c r="C58">
        <v>7505489</v>
      </c>
      <c r="D58">
        <v>101083253</v>
      </c>
      <c r="E58" t="s">
        <v>870</v>
      </c>
      <c r="F58" t="s">
        <v>4431</v>
      </c>
      <c r="G58" t="s">
        <v>2198</v>
      </c>
      <c r="H58" t="s">
        <v>1131</v>
      </c>
      <c r="I58" t="s">
        <v>4269</v>
      </c>
      <c r="M58" t="s">
        <v>4432</v>
      </c>
    </row>
    <row r="59" spans="1:13" ht="15" customHeight="1" x14ac:dyDescent="0.3">
      <c r="A59" t="s">
        <v>916</v>
      </c>
      <c r="B59" t="s">
        <v>4774</v>
      </c>
      <c r="C59">
        <v>7505492</v>
      </c>
      <c r="D59">
        <v>101092942</v>
      </c>
      <c r="G59" t="s">
        <v>2198</v>
      </c>
      <c r="H59" t="s">
        <v>1146</v>
      </c>
      <c r="I59" t="s">
        <v>1160</v>
      </c>
      <c r="K59" t="s">
        <v>4775</v>
      </c>
      <c r="M59" t="s">
        <v>4776</v>
      </c>
    </row>
    <row r="60" spans="1:13" ht="15" customHeight="1" x14ac:dyDescent="0.3">
      <c r="A60" t="s">
        <v>916</v>
      </c>
      <c r="B60" t="s">
        <v>4774</v>
      </c>
      <c r="C60">
        <v>7505492</v>
      </c>
      <c r="D60">
        <v>101092922</v>
      </c>
      <c r="G60" t="s">
        <v>2198</v>
      </c>
      <c r="H60" t="s">
        <v>1146</v>
      </c>
      <c r="I60" t="s">
        <v>1160</v>
      </c>
      <c r="K60" t="s">
        <v>4775</v>
      </c>
      <c r="M60" t="s">
        <v>4776</v>
      </c>
    </row>
    <row r="61" spans="1:13" ht="15" customHeight="1" x14ac:dyDescent="0.3">
      <c r="A61" t="s">
        <v>920</v>
      </c>
      <c r="B61" t="s">
        <v>4774</v>
      </c>
      <c r="C61">
        <v>7505492</v>
      </c>
      <c r="D61">
        <v>101092909</v>
      </c>
      <c r="G61" t="s">
        <v>2198</v>
      </c>
      <c r="H61" t="s">
        <v>1161</v>
      </c>
      <c r="I61" t="s">
        <v>1100</v>
      </c>
      <c r="K61" t="s">
        <v>4777</v>
      </c>
      <c r="M61" t="s">
        <v>4776</v>
      </c>
    </row>
    <row r="62" spans="1:13" ht="15" customHeight="1" x14ac:dyDescent="0.3">
      <c r="A62" t="s">
        <v>920</v>
      </c>
      <c r="B62" t="s">
        <v>4774</v>
      </c>
      <c r="C62">
        <v>7505492</v>
      </c>
      <c r="D62">
        <v>101092960</v>
      </c>
      <c r="G62" t="s">
        <v>2198</v>
      </c>
      <c r="H62" t="s">
        <v>1161</v>
      </c>
      <c r="I62" t="s">
        <v>1100</v>
      </c>
      <c r="K62" t="s">
        <v>4777</v>
      </c>
      <c r="M62" t="s">
        <v>4776</v>
      </c>
    </row>
    <row r="63" spans="1:13" ht="15" customHeight="1" x14ac:dyDescent="0.3">
      <c r="A63" t="s">
        <v>921</v>
      </c>
      <c r="B63" t="s">
        <v>4774</v>
      </c>
      <c r="C63">
        <v>7505492</v>
      </c>
      <c r="D63">
        <v>101092897</v>
      </c>
      <c r="G63" t="s">
        <v>2198</v>
      </c>
      <c r="H63" t="s">
        <v>1162</v>
      </c>
      <c r="I63" t="s">
        <v>1163</v>
      </c>
      <c r="K63" t="s">
        <v>4775</v>
      </c>
      <c r="M63" t="s">
        <v>4776</v>
      </c>
    </row>
    <row r="64" spans="1:13" ht="15" customHeight="1" x14ac:dyDescent="0.3">
      <c r="A64" t="s">
        <v>921</v>
      </c>
      <c r="B64" t="s">
        <v>4774</v>
      </c>
      <c r="C64">
        <v>7505492</v>
      </c>
      <c r="D64">
        <v>101092950</v>
      </c>
      <c r="G64" t="s">
        <v>2198</v>
      </c>
      <c r="H64" t="s">
        <v>1162</v>
      </c>
      <c r="I64" t="s">
        <v>1163</v>
      </c>
      <c r="K64" t="s">
        <v>4775</v>
      </c>
      <c r="M64" t="s">
        <v>4776</v>
      </c>
    </row>
    <row r="65" spans="1:13" ht="15" customHeight="1" x14ac:dyDescent="0.3">
      <c r="A65" t="s">
        <v>922</v>
      </c>
      <c r="B65" t="s">
        <v>4774</v>
      </c>
      <c r="C65">
        <v>7505492</v>
      </c>
      <c r="D65">
        <v>101092899</v>
      </c>
      <c r="G65" t="s">
        <v>2198</v>
      </c>
      <c r="H65" t="s">
        <v>1164</v>
      </c>
      <c r="I65" t="s">
        <v>1165</v>
      </c>
      <c r="K65" t="s">
        <v>4775</v>
      </c>
      <c r="M65" t="s">
        <v>4776</v>
      </c>
    </row>
    <row r="66" spans="1:13" ht="15" customHeight="1" x14ac:dyDescent="0.3">
      <c r="A66" t="s">
        <v>922</v>
      </c>
      <c r="B66" t="s">
        <v>4774</v>
      </c>
      <c r="C66">
        <v>7505492</v>
      </c>
      <c r="D66">
        <v>101092961</v>
      </c>
      <c r="G66" t="s">
        <v>2198</v>
      </c>
      <c r="H66" t="s">
        <v>1164</v>
      </c>
      <c r="I66" t="s">
        <v>1165</v>
      </c>
      <c r="K66" t="s">
        <v>4775</v>
      </c>
      <c r="M66" t="s">
        <v>4776</v>
      </c>
    </row>
    <row r="67" spans="1:13" ht="15" customHeight="1" x14ac:dyDescent="0.3">
      <c r="A67" t="s">
        <v>923</v>
      </c>
      <c r="B67" t="s">
        <v>4774</v>
      </c>
      <c r="C67">
        <v>7505492</v>
      </c>
      <c r="D67">
        <v>101092894</v>
      </c>
      <c r="G67" t="s">
        <v>2198</v>
      </c>
      <c r="H67" t="s">
        <v>4778</v>
      </c>
      <c r="I67" t="s">
        <v>4779</v>
      </c>
      <c r="K67" t="s">
        <v>4780</v>
      </c>
      <c r="M67" t="s">
        <v>4776</v>
      </c>
    </row>
    <row r="68" spans="1:13" ht="15" customHeight="1" x14ac:dyDescent="0.3">
      <c r="A68" t="s">
        <v>923</v>
      </c>
      <c r="B68" t="s">
        <v>4774</v>
      </c>
      <c r="C68">
        <v>7505492</v>
      </c>
      <c r="D68">
        <v>101092932</v>
      </c>
      <c r="G68" t="s">
        <v>2198</v>
      </c>
      <c r="H68" t="s">
        <v>4778</v>
      </c>
      <c r="I68" t="s">
        <v>4779</v>
      </c>
      <c r="K68" t="s">
        <v>4780</v>
      </c>
      <c r="M68" t="s">
        <v>4776</v>
      </c>
    </row>
    <row r="69" spans="1:13" ht="15" customHeight="1" x14ac:dyDescent="0.3">
      <c r="A69" t="s">
        <v>924</v>
      </c>
      <c r="B69" t="s">
        <v>4774</v>
      </c>
      <c r="C69">
        <v>7505492</v>
      </c>
      <c r="D69">
        <v>101092919</v>
      </c>
      <c r="G69" t="s">
        <v>2198</v>
      </c>
      <c r="H69" t="s">
        <v>1168</v>
      </c>
      <c r="I69" t="s">
        <v>1139</v>
      </c>
      <c r="K69" t="s">
        <v>4775</v>
      </c>
      <c r="M69" t="s">
        <v>4776</v>
      </c>
    </row>
    <row r="70" spans="1:13" ht="15" customHeight="1" x14ac:dyDescent="0.3">
      <c r="A70" t="s">
        <v>924</v>
      </c>
      <c r="B70" t="s">
        <v>4774</v>
      </c>
      <c r="C70">
        <v>7505492</v>
      </c>
      <c r="D70">
        <v>101092908</v>
      </c>
      <c r="G70" t="s">
        <v>2198</v>
      </c>
      <c r="H70" t="s">
        <v>1168</v>
      </c>
      <c r="I70" t="s">
        <v>1139</v>
      </c>
      <c r="K70" t="s">
        <v>4775</v>
      </c>
      <c r="M70" t="s">
        <v>4776</v>
      </c>
    </row>
    <row r="71" spans="1:13" ht="15" customHeight="1" x14ac:dyDescent="0.3">
      <c r="A71" t="s">
        <v>925</v>
      </c>
      <c r="B71" t="s">
        <v>4774</v>
      </c>
      <c r="C71">
        <v>7505492</v>
      </c>
      <c r="D71">
        <v>101092915</v>
      </c>
      <c r="G71" t="s">
        <v>2198</v>
      </c>
      <c r="H71" t="s">
        <v>1169</v>
      </c>
      <c r="I71" t="s">
        <v>1170</v>
      </c>
      <c r="K71" t="s">
        <v>4781</v>
      </c>
      <c r="M71" t="s">
        <v>4776</v>
      </c>
    </row>
    <row r="72" spans="1:13" ht="15" customHeight="1" x14ac:dyDescent="0.3">
      <c r="A72" t="s">
        <v>925</v>
      </c>
      <c r="B72" t="s">
        <v>4774</v>
      </c>
      <c r="C72">
        <v>7505492</v>
      </c>
      <c r="D72">
        <v>101092933</v>
      </c>
      <c r="G72" t="s">
        <v>2198</v>
      </c>
      <c r="H72" t="s">
        <v>1169</v>
      </c>
      <c r="I72" t="s">
        <v>1170</v>
      </c>
      <c r="K72" t="s">
        <v>4781</v>
      </c>
      <c r="M72" t="s">
        <v>4776</v>
      </c>
    </row>
    <row r="73" spans="1:13" ht="15" customHeight="1" x14ac:dyDescent="0.3">
      <c r="A73" t="s">
        <v>926</v>
      </c>
      <c r="B73" t="s">
        <v>4774</v>
      </c>
      <c r="C73">
        <v>7505492</v>
      </c>
      <c r="D73">
        <v>101092941</v>
      </c>
      <c r="G73" t="s">
        <v>2198</v>
      </c>
      <c r="H73" t="s">
        <v>1171</v>
      </c>
      <c r="I73" t="s">
        <v>1172</v>
      </c>
      <c r="K73" t="s">
        <v>4775</v>
      </c>
      <c r="M73" t="s">
        <v>4776</v>
      </c>
    </row>
    <row r="74" spans="1:13" ht="15" customHeight="1" x14ac:dyDescent="0.3">
      <c r="A74" t="s">
        <v>926</v>
      </c>
      <c r="B74" t="s">
        <v>4774</v>
      </c>
      <c r="C74">
        <v>7505492</v>
      </c>
      <c r="D74">
        <v>101092898</v>
      </c>
      <c r="G74" t="s">
        <v>2198</v>
      </c>
      <c r="H74" t="s">
        <v>1171</v>
      </c>
      <c r="I74" t="s">
        <v>1172</v>
      </c>
      <c r="K74" t="s">
        <v>4775</v>
      </c>
      <c r="M74" t="s">
        <v>4776</v>
      </c>
    </row>
    <row r="75" spans="1:13" ht="15" customHeight="1" x14ac:dyDescent="0.3">
      <c r="A75" t="s">
        <v>2815</v>
      </c>
      <c r="B75" t="s">
        <v>2816</v>
      </c>
      <c r="C75">
        <v>120141398</v>
      </c>
      <c r="D75">
        <v>120141740</v>
      </c>
      <c r="E75" t="s">
        <v>2817</v>
      </c>
      <c r="G75" t="s">
        <v>2198</v>
      </c>
      <c r="H75" t="s">
        <v>2556</v>
      </c>
      <c r="I75" t="s">
        <v>2841</v>
      </c>
      <c r="J75" t="s">
        <v>2200</v>
      </c>
      <c r="L75" t="s">
        <v>2842</v>
      </c>
    </row>
    <row r="76" spans="1:13" ht="15" customHeight="1" x14ac:dyDescent="0.3">
      <c r="A76" t="s">
        <v>2818</v>
      </c>
      <c r="B76" t="s">
        <v>2816</v>
      </c>
      <c r="C76">
        <v>120141398</v>
      </c>
      <c r="D76">
        <v>120141399</v>
      </c>
      <c r="E76" t="s">
        <v>2819</v>
      </c>
      <c r="F76" t="s">
        <v>4782</v>
      </c>
      <c r="G76" t="s">
        <v>2198</v>
      </c>
      <c r="H76" t="s">
        <v>2843</v>
      </c>
      <c r="I76" t="s">
        <v>2844</v>
      </c>
      <c r="J76" t="s">
        <v>2845</v>
      </c>
      <c r="L76" t="s">
        <v>2846</v>
      </c>
    </row>
    <row r="77" spans="1:13" ht="15" customHeight="1" x14ac:dyDescent="0.3">
      <c r="A77" t="s">
        <v>4783</v>
      </c>
      <c r="B77" t="s">
        <v>93</v>
      </c>
      <c r="C77">
        <v>507143</v>
      </c>
      <c r="D77">
        <v>100304834</v>
      </c>
      <c r="E77" t="s">
        <v>4784</v>
      </c>
      <c r="G77" t="s">
        <v>2198</v>
      </c>
      <c r="H77" t="s">
        <v>1169</v>
      </c>
      <c r="I77" t="s">
        <v>4785</v>
      </c>
      <c r="K77" t="s">
        <v>2431</v>
      </c>
      <c r="L77" t="s">
        <v>2481</v>
      </c>
      <c r="M77" t="s">
        <v>4786</v>
      </c>
    </row>
    <row r="78" spans="1:13" ht="15" customHeight="1" x14ac:dyDescent="0.3">
      <c r="A78" t="s">
        <v>4787</v>
      </c>
      <c r="B78" t="s">
        <v>93</v>
      </c>
      <c r="C78">
        <v>507143</v>
      </c>
      <c r="D78">
        <v>100304848</v>
      </c>
      <c r="E78" t="s">
        <v>4788</v>
      </c>
      <c r="G78" t="s">
        <v>2198</v>
      </c>
      <c r="H78" t="s">
        <v>2608</v>
      </c>
      <c r="I78" t="s">
        <v>4789</v>
      </c>
      <c r="M78" t="s">
        <v>4790</v>
      </c>
    </row>
    <row r="79" spans="1:13" ht="15" customHeight="1" x14ac:dyDescent="0.3">
      <c r="A79" t="s">
        <v>1923</v>
      </c>
      <c r="B79" t="s">
        <v>93</v>
      </c>
      <c r="C79">
        <v>507143</v>
      </c>
      <c r="D79">
        <v>120169735</v>
      </c>
      <c r="E79" t="s">
        <v>4791</v>
      </c>
      <c r="G79" t="s">
        <v>2198</v>
      </c>
      <c r="H79" t="s">
        <v>1252</v>
      </c>
      <c r="I79" t="s">
        <v>2897</v>
      </c>
      <c r="J79" t="s">
        <v>2200</v>
      </c>
      <c r="L79" t="s">
        <v>2432</v>
      </c>
    </row>
    <row r="80" spans="1:13" ht="15" customHeight="1" x14ac:dyDescent="0.3">
      <c r="A80" t="s">
        <v>4792</v>
      </c>
      <c r="B80" t="s">
        <v>93</v>
      </c>
      <c r="C80">
        <v>507143</v>
      </c>
      <c r="D80">
        <v>100304845</v>
      </c>
      <c r="E80" t="s">
        <v>4793</v>
      </c>
      <c r="G80" t="s">
        <v>2198</v>
      </c>
      <c r="H80" t="s">
        <v>1115</v>
      </c>
      <c r="I80" t="s">
        <v>4794</v>
      </c>
      <c r="K80" t="s">
        <v>2431</v>
      </c>
      <c r="L80" t="s">
        <v>4018</v>
      </c>
      <c r="M80" t="s">
        <v>4786</v>
      </c>
    </row>
    <row r="81" spans="1:13" ht="15" customHeight="1" x14ac:dyDescent="0.3">
      <c r="A81" t="s">
        <v>92</v>
      </c>
      <c r="B81" t="s">
        <v>93</v>
      </c>
      <c r="C81">
        <v>507143</v>
      </c>
      <c r="D81">
        <v>101035126</v>
      </c>
      <c r="E81" t="s">
        <v>4795</v>
      </c>
      <c r="G81" t="s">
        <v>2198</v>
      </c>
      <c r="H81" t="s">
        <v>1161</v>
      </c>
      <c r="I81" t="s">
        <v>1192</v>
      </c>
      <c r="M81" t="s">
        <v>4786</v>
      </c>
    </row>
    <row r="82" spans="1:13" ht="15" customHeight="1" x14ac:dyDescent="0.3">
      <c r="A82" t="s">
        <v>4796</v>
      </c>
      <c r="B82" t="s">
        <v>93</v>
      </c>
      <c r="C82">
        <v>507143</v>
      </c>
      <c r="D82">
        <v>120069188</v>
      </c>
      <c r="E82" t="s">
        <v>4797</v>
      </c>
      <c r="F82" t="s">
        <v>4798</v>
      </c>
      <c r="G82" t="s">
        <v>2198</v>
      </c>
      <c r="H82" t="s">
        <v>1161</v>
      </c>
      <c r="I82" t="s">
        <v>4799</v>
      </c>
      <c r="J82" t="s">
        <v>2200</v>
      </c>
      <c r="L82" t="s">
        <v>2750</v>
      </c>
      <c r="M82" t="s">
        <v>4800</v>
      </c>
    </row>
    <row r="83" spans="1:13" ht="15" customHeight="1" x14ac:dyDescent="0.3">
      <c r="A83" t="s">
        <v>4801</v>
      </c>
      <c r="B83" t="s">
        <v>93</v>
      </c>
      <c r="C83">
        <v>507143</v>
      </c>
      <c r="D83">
        <v>100304837</v>
      </c>
      <c r="E83" t="s">
        <v>4802</v>
      </c>
      <c r="G83" t="s">
        <v>2198</v>
      </c>
      <c r="H83" t="s">
        <v>4803</v>
      </c>
      <c r="I83" t="s">
        <v>4804</v>
      </c>
      <c r="L83" t="s">
        <v>4805</v>
      </c>
      <c r="M83" t="s">
        <v>4786</v>
      </c>
    </row>
    <row r="84" spans="1:13" ht="15" customHeight="1" x14ac:dyDescent="0.3">
      <c r="A84" t="s">
        <v>4806</v>
      </c>
      <c r="B84" t="s">
        <v>93</v>
      </c>
      <c r="C84">
        <v>507143</v>
      </c>
      <c r="D84">
        <v>100304838</v>
      </c>
      <c r="E84" t="s">
        <v>4807</v>
      </c>
      <c r="G84" t="s">
        <v>2198</v>
      </c>
      <c r="H84" t="s">
        <v>2690</v>
      </c>
      <c r="I84" t="s">
        <v>4808</v>
      </c>
      <c r="K84" t="s">
        <v>2431</v>
      </c>
      <c r="L84" t="s">
        <v>4809</v>
      </c>
      <c r="M84" t="s">
        <v>4810</v>
      </c>
    </row>
    <row r="85" spans="1:13" ht="15" customHeight="1" x14ac:dyDescent="0.3">
      <c r="A85" t="s">
        <v>4811</v>
      </c>
      <c r="B85" t="s">
        <v>93</v>
      </c>
      <c r="C85">
        <v>507143</v>
      </c>
      <c r="D85">
        <v>100304843</v>
      </c>
      <c r="G85" t="s">
        <v>2198</v>
      </c>
      <c r="H85" t="s">
        <v>4812</v>
      </c>
      <c r="I85" t="s">
        <v>4813</v>
      </c>
      <c r="K85" t="s">
        <v>2431</v>
      </c>
      <c r="L85" t="s">
        <v>4814</v>
      </c>
      <c r="M85" t="s">
        <v>4786</v>
      </c>
    </row>
    <row r="86" spans="1:13" ht="15" customHeight="1" x14ac:dyDescent="0.3">
      <c r="A86" t="s">
        <v>4815</v>
      </c>
      <c r="B86" t="s">
        <v>93</v>
      </c>
      <c r="C86">
        <v>507143</v>
      </c>
      <c r="D86">
        <v>100304836</v>
      </c>
      <c r="E86" t="s">
        <v>4816</v>
      </c>
      <c r="F86" t="s">
        <v>4817</v>
      </c>
      <c r="G86" t="s">
        <v>2198</v>
      </c>
      <c r="H86" t="s">
        <v>4818</v>
      </c>
      <c r="I86" t="s">
        <v>4819</v>
      </c>
      <c r="K86" t="s">
        <v>2431</v>
      </c>
      <c r="L86" t="s">
        <v>4820</v>
      </c>
      <c r="M86" t="s">
        <v>4786</v>
      </c>
    </row>
    <row r="87" spans="1:13" ht="15" customHeight="1" x14ac:dyDescent="0.3">
      <c r="A87" t="s">
        <v>4821</v>
      </c>
      <c r="B87" t="s">
        <v>93</v>
      </c>
      <c r="C87">
        <v>507143</v>
      </c>
      <c r="D87">
        <v>100304835</v>
      </c>
      <c r="E87" t="s">
        <v>4822</v>
      </c>
      <c r="G87" t="s">
        <v>2198</v>
      </c>
      <c r="H87" t="s">
        <v>1119</v>
      </c>
      <c r="I87" t="s">
        <v>4823</v>
      </c>
      <c r="K87" t="s">
        <v>2431</v>
      </c>
      <c r="L87" t="s">
        <v>4018</v>
      </c>
      <c r="M87" t="s">
        <v>4824</v>
      </c>
    </row>
    <row r="88" spans="1:13" ht="15" customHeight="1" x14ac:dyDescent="0.3">
      <c r="A88" t="s">
        <v>4825</v>
      </c>
      <c r="B88" t="s">
        <v>93</v>
      </c>
      <c r="C88">
        <v>507143</v>
      </c>
      <c r="D88">
        <v>100304842</v>
      </c>
      <c r="E88" t="s">
        <v>4826</v>
      </c>
      <c r="G88" t="s">
        <v>2198</v>
      </c>
      <c r="H88" t="s">
        <v>1155</v>
      </c>
      <c r="I88" t="s">
        <v>3313</v>
      </c>
      <c r="K88" t="s">
        <v>4118</v>
      </c>
      <c r="L88" t="s">
        <v>4827</v>
      </c>
      <c r="M88" t="s">
        <v>4786</v>
      </c>
    </row>
    <row r="89" spans="1:13" ht="15" customHeight="1" x14ac:dyDescent="0.3">
      <c r="A89" t="s">
        <v>4828</v>
      </c>
      <c r="B89" t="s">
        <v>93</v>
      </c>
      <c r="C89">
        <v>507143</v>
      </c>
      <c r="D89">
        <v>100304841</v>
      </c>
      <c r="E89" t="s">
        <v>4829</v>
      </c>
      <c r="F89" t="s">
        <v>4830</v>
      </c>
      <c r="G89" t="s">
        <v>2198</v>
      </c>
      <c r="H89" t="s">
        <v>4831</v>
      </c>
      <c r="I89" t="s">
        <v>1102</v>
      </c>
      <c r="K89" t="s">
        <v>2431</v>
      </c>
      <c r="L89" t="s">
        <v>4827</v>
      </c>
      <c r="M89" t="s">
        <v>4786</v>
      </c>
    </row>
    <row r="90" spans="1:13" ht="15" customHeight="1" x14ac:dyDescent="0.3">
      <c r="A90" t="s">
        <v>1930</v>
      </c>
      <c r="B90" t="s">
        <v>93</v>
      </c>
      <c r="C90">
        <v>507143</v>
      </c>
      <c r="D90">
        <v>120172657</v>
      </c>
      <c r="E90" t="s">
        <v>1949</v>
      </c>
      <c r="G90" t="s">
        <v>2198</v>
      </c>
      <c r="H90" t="s">
        <v>1202</v>
      </c>
      <c r="I90" t="s">
        <v>4832</v>
      </c>
      <c r="J90" t="s">
        <v>2200</v>
      </c>
    </row>
    <row r="91" spans="1:13" ht="15" customHeight="1" x14ac:dyDescent="0.3">
      <c r="A91" t="s">
        <v>4833</v>
      </c>
      <c r="B91" t="s">
        <v>93</v>
      </c>
      <c r="C91">
        <v>507143</v>
      </c>
      <c r="D91">
        <v>100304832</v>
      </c>
      <c r="E91" t="s">
        <v>4834</v>
      </c>
      <c r="G91" t="s">
        <v>2198</v>
      </c>
      <c r="H91" t="s">
        <v>1115</v>
      </c>
      <c r="I91" t="s">
        <v>4835</v>
      </c>
      <c r="K91" t="s">
        <v>2431</v>
      </c>
      <c r="L91" t="s">
        <v>4270</v>
      </c>
      <c r="M91" t="s">
        <v>4786</v>
      </c>
    </row>
    <row r="92" spans="1:13" ht="15" customHeight="1" x14ac:dyDescent="0.3">
      <c r="A92" t="s">
        <v>4836</v>
      </c>
      <c r="B92" t="s">
        <v>93</v>
      </c>
      <c r="C92">
        <v>507143</v>
      </c>
      <c r="D92">
        <v>100304844</v>
      </c>
      <c r="E92" t="s">
        <v>4837</v>
      </c>
      <c r="G92" t="s">
        <v>2198</v>
      </c>
      <c r="H92" t="s">
        <v>1129</v>
      </c>
      <c r="I92" t="s">
        <v>4838</v>
      </c>
      <c r="K92" t="s">
        <v>2431</v>
      </c>
      <c r="L92" t="s">
        <v>4839</v>
      </c>
      <c r="M92" t="s">
        <v>4786</v>
      </c>
    </row>
    <row r="93" spans="1:13" ht="15" customHeight="1" x14ac:dyDescent="0.3">
      <c r="A93" t="s">
        <v>4840</v>
      </c>
      <c r="B93" t="s">
        <v>93</v>
      </c>
      <c r="C93">
        <v>507143</v>
      </c>
      <c r="D93">
        <v>100304840</v>
      </c>
      <c r="G93" t="s">
        <v>2198</v>
      </c>
      <c r="H93" t="s">
        <v>2577</v>
      </c>
      <c r="I93" t="s">
        <v>4841</v>
      </c>
      <c r="K93" t="s">
        <v>4118</v>
      </c>
      <c r="L93" t="s">
        <v>2954</v>
      </c>
      <c r="M93" t="s">
        <v>4786</v>
      </c>
    </row>
    <row r="94" spans="1:13" ht="15" customHeight="1" x14ac:dyDescent="0.3">
      <c r="A94" t="s">
        <v>4842</v>
      </c>
      <c r="B94" t="s">
        <v>93</v>
      </c>
      <c r="C94">
        <v>507143</v>
      </c>
      <c r="D94">
        <v>100304852</v>
      </c>
      <c r="E94" t="s">
        <v>4843</v>
      </c>
      <c r="G94" t="s">
        <v>2198</v>
      </c>
      <c r="H94" t="s">
        <v>2263</v>
      </c>
      <c r="I94" t="s">
        <v>4771</v>
      </c>
      <c r="M94" t="s">
        <v>4786</v>
      </c>
    </row>
    <row r="95" spans="1:13" ht="15" customHeight="1" x14ac:dyDescent="0.3">
      <c r="A95" t="s">
        <v>4844</v>
      </c>
      <c r="B95" t="s">
        <v>93</v>
      </c>
      <c r="C95">
        <v>507143</v>
      </c>
      <c r="D95">
        <v>100304846</v>
      </c>
      <c r="E95" t="s">
        <v>4845</v>
      </c>
      <c r="G95" t="s">
        <v>2198</v>
      </c>
      <c r="H95" t="s">
        <v>4846</v>
      </c>
      <c r="I95" t="s">
        <v>4847</v>
      </c>
      <c r="K95" t="s">
        <v>4118</v>
      </c>
      <c r="L95" t="s">
        <v>4848</v>
      </c>
      <c r="M95" t="s">
        <v>4786</v>
      </c>
    </row>
    <row r="96" spans="1:13" ht="15" customHeight="1" x14ac:dyDescent="0.3">
      <c r="A96" t="s">
        <v>4849</v>
      </c>
      <c r="B96" t="s">
        <v>93</v>
      </c>
      <c r="C96">
        <v>507143</v>
      </c>
      <c r="D96">
        <v>100304839</v>
      </c>
      <c r="E96" t="s">
        <v>4850</v>
      </c>
      <c r="G96" t="s">
        <v>2198</v>
      </c>
      <c r="H96" t="s">
        <v>1175</v>
      </c>
      <c r="I96" t="s">
        <v>4851</v>
      </c>
      <c r="K96" t="s">
        <v>2431</v>
      </c>
      <c r="L96" t="s">
        <v>2481</v>
      </c>
      <c r="M96" t="s">
        <v>4786</v>
      </c>
    </row>
    <row r="97" spans="1:13" ht="15" customHeight="1" x14ac:dyDescent="0.3">
      <c r="A97" t="s">
        <v>4852</v>
      </c>
      <c r="B97" t="s">
        <v>93</v>
      </c>
      <c r="C97">
        <v>507143</v>
      </c>
      <c r="D97">
        <v>100304851</v>
      </c>
      <c r="E97" t="s">
        <v>4853</v>
      </c>
      <c r="G97" t="s">
        <v>2198</v>
      </c>
      <c r="H97" t="s">
        <v>4854</v>
      </c>
      <c r="I97" t="s">
        <v>1159</v>
      </c>
      <c r="J97" t="s">
        <v>2200</v>
      </c>
      <c r="M97" t="s">
        <v>4786</v>
      </c>
    </row>
    <row r="98" spans="1:13" ht="15" customHeight="1" x14ac:dyDescent="0.3">
      <c r="A98" t="s">
        <v>4855</v>
      </c>
      <c r="B98" t="s">
        <v>93</v>
      </c>
      <c r="C98">
        <v>507143</v>
      </c>
      <c r="D98">
        <v>100304833</v>
      </c>
      <c r="G98" t="s">
        <v>2198</v>
      </c>
      <c r="H98" t="s">
        <v>1119</v>
      </c>
      <c r="I98" t="s">
        <v>4856</v>
      </c>
      <c r="K98" t="s">
        <v>2431</v>
      </c>
      <c r="L98" t="s">
        <v>4857</v>
      </c>
      <c r="M98" t="s">
        <v>4786</v>
      </c>
    </row>
    <row r="99" spans="1:13" ht="15" customHeight="1" x14ac:dyDescent="0.3">
      <c r="A99" t="s">
        <v>1950</v>
      </c>
      <c r="B99" t="s">
        <v>93</v>
      </c>
      <c r="C99">
        <v>507143</v>
      </c>
      <c r="D99">
        <v>120169734</v>
      </c>
      <c r="E99" t="s">
        <v>4858</v>
      </c>
      <c r="G99" t="s">
        <v>2198</v>
      </c>
      <c r="H99" t="s">
        <v>2425</v>
      </c>
      <c r="I99" t="s">
        <v>2686</v>
      </c>
      <c r="J99" t="s">
        <v>2200</v>
      </c>
      <c r="L99" t="s">
        <v>2432</v>
      </c>
    </row>
    <row r="100" spans="1:13" ht="15" customHeight="1" x14ac:dyDescent="0.3">
      <c r="A100" t="s">
        <v>79</v>
      </c>
      <c r="B100" t="s">
        <v>4859</v>
      </c>
      <c r="C100">
        <v>7488915</v>
      </c>
      <c r="D100">
        <v>101018829</v>
      </c>
      <c r="E100" t="s">
        <v>4860</v>
      </c>
      <c r="F100" t="s">
        <v>4861</v>
      </c>
      <c r="G100" t="s">
        <v>2198</v>
      </c>
      <c r="H100" t="s">
        <v>1238</v>
      </c>
      <c r="I100" t="s">
        <v>4862</v>
      </c>
      <c r="M100" t="s">
        <v>4863</v>
      </c>
    </row>
    <row r="101" spans="1:13" ht="15" customHeight="1" x14ac:dyDescent="0.3">
      <c r="A101" t="s">
        <v>81</v>
      </c>
      <c r="B101" t="s">
        <v>4859</v>
      </c>
      <c r="C101">
        <v>7488915</v>
      </c>
      <c r="D101">
        <v>101029208</v>
      </c>
      <c r="E101" t="s">
        <v>4864</v>
      </c>
      <c r="G101" t="s">
        <v>2198</v>
      </c>
      <c r="H101" t="s">
        <v>1129</v>
      </c>
      <c r="I101" t="s">
        <v>2620</v>
      </c>
      <c r="M101" t="s">
        <v>4863</v>
      </c>
    </row>
    <row r="102" spans="1:13" ht="15" customHeight="1" x14ac:dyDescent="0.3">
      <c r="A102" t="s">
        <v>52</v>
      </c>
      <c r="B102" t="s">
        <v>53</v>
      </c>
      <c r="C102">
        <v>7410462</v>
      </c>
      <c r="D102">
        <v>100922325</v>
      </c>
      <c r="E102" t="s">
        <v>4865</v>
      </c>
      <c r="G102" t="s">
        <v>2198</v>
      </c>
      <c r="H102" t="s">
        <v>2528</v>
      </c>
      <c r="I102" t="s">
        <v>4866</v>
      </c>
      <c r="J102" t="s">
        <v>4105</v>
      </c>
      <c r="M102" t="s">
        <v>4867</v>
      </c>
    </row>
    <row r="103" spans="1:13" ht="15" customHeight="1" x14ac:dyDescent="0.3">
      <c r="A103" t="s">
        <v>4868</v>
      </c>
      <c r="B103" t="s">
        <v>53</v>
      </c>
      <c r="C103">
        <v>7410462</v>
      </c>
      <c r="D103">
        <v>120077539</v>
      </c>
      <c r="E103" t="s">
        <v>4869</v>
      </c>
      <c r="F103" t="s">
        <v>4870</v>
      </c>
      <c r="G103" t="s">
        <v>2198</v>
      </c>
      <c r="I103" t="s">
        <v>4871</v>
      </c>
      <c r="J103" t="s">
        <v>4618</v>
      </c>
      <c r="K103" t="s">
        <v>4872</v>
      </c>
    </row>
    <row r="104" spans="1:13" ht="15" customHeight="1" x14ac:dyDescent="0.3">
      <c r="A104" t="s">
        <v>112</v>
      </c>
      <c r="B104" t="s">
        <v>53</v>
      </c>
      <c r="C104">
        <v>7410462</v>
      </c>
      <c r="D104">
        <v>100922326</v>
      </c>
      <c r="G104" t="s">
        <v>2198</v>
      </c>
      <c r="H104" t="s">
        <v>4256</v>
      </c>
      <c r="I104" t="s">
        <v>1132</v>
      </c>
      <c r="K104" t="s">
        <v>4873</v>
      </c>
    </row>
    <row r="105" spans="1:13" ht="15" customHeight="1" x14ac:dyDescent="0.3">
      <c r="A105" t="s">
        <v>876</v>
      </c>
      <c r="B105" t="s">
        <v>353</v>
      </c>
      <c r="C105">
        <v>523553</v>
      </c>
      <c r="D105">
        <v>101092873</v>
      </c>
      <c r="E105" t="s">
        <v>877</v>
      </c>
      <c r="G105" t="s">
        <v>2198</v>
      </c>
      <c r="H105" t="s">
        <v>1134</v>
      </c>
      <c r="I105" t="s">
        <v>2297</v>
      </c>
      <c r="J105" t="s">
        <v>2200</v>
      </c>
      <c r="M105" t="s">
        <v>2298</v>
      </c>
    </row>
    <row r="106" spans="1:13" ht="15" customHeight="1" x14ac:dyDescent="0.3">
      <c r="A106" t="s">
        <v>352</v>
      </c>
      <c r="B106" t="s">
        <v>353</v>
      </c>
      <c r="C106">
        <v>523553</v>
      </c>
      <c r="D106">
        <v>101035089</v>
      </c>
      <c r="E106" t="s">
        <v>354</v>
      </c>
      <c r="G106" t="s">
        <v>2198</v>
      </c>
      <c r="H106" t="s">
        <v>1238</v>
      </c>
      <c r="I106" t="s">
        <v>2299</v>
      </c>
      <c r="M106" t="s">
        <v>2298</v>
      </c>
    </row>
    <row r="107" spans="1:13" ht="15" customHeight="1" x14ac:dyDescent="0.3">
      <c r="A107" t="s">
        <v>355</v>
      </c>
      <c r="B107" t="s">
        <v>353</v>
      </c>
      <c r="C107">
        <v>523553</v>
      </c>
      <c r="D107">
        <v>101035142</v>
      </c>
      <c r="E107" t="s">
        <v>356</v>
      </c>
      <c r="G107" t="s">
        <v>2198</v>
      </c>
      <c r="H107" t="s">
        <v>2300</v>
      </c>
      <c r="I107" t="s">
        <v>2301</v>
      </c>
      <c r="M107" t="s">
        <v>2298</v>
      </c>
    </row>
    <row r="108" spans="1:13" ht="15" customHeight="1" x14ac:dyDescent="0.3">
      <c r="A108" t="s">
        <v>357</v>
      </c>
      <c r="B108" t="s">
        <v>353</v>
      </c>
      <c r="C108">
        <v>523553</v>
      </c>
      <c r="D108">
        <v>101047864</v>
      </c>
      <c r="E108" t="s">
        <v>358</v>
      </c>
      <c r="G108" t="s">
        <v>2198</v>
      </c>
      <c r="H108" t="s">
        <v>1136</v>
      </c>
      <c r="I108" t="s">
        <v>2302</v>
      </c>
      <c r="M108" t="s">
        <v>2298</v>
      </c>
    </row>
    <row r="109" spans="1:13" ht="15" customHeight="1" x14ac:dyDescent="0.3">
      <c r="A109" t="s">
        <v>359</v>
      </c>
      <c r="B109" t="s">
        <v>353</v>
      </c>
      <c r="C109">
        <v>523553</v>
      </c>
      <c r="D109">
        <v>101035107</v>
      </c>
      <c r="E109" t="s">
        <v>360</v>
      </c>
      <c r="G109" t="s">
        <v>2198</v>
      </c>
      <c r="H109" t="s">
        <v>2303</v>
      </c>
      <c r="I109" t="s">
        <v>2304</v>
      </c>
      <c r="L109" t="s">
        <v>2305</v>
      </c>
      <c r="M109" t="s">
        <v>2298</v>
      </c>
    </row>
    <row r="110" spans="1:13" ht="15" customHeight="1" x14ac:dyDescent="0.3">
      <c r="A110" t="s">
        <v>873</v>
      </c>
      <c r="B110" t="s">
        <v>353</v>
      </c>
      <c r="C110">
        <v>523553</v>
      </c>
      <c r="D110">
        <v>101092858</v>
      </c>
      <c r="E110" t="s">
        <v>875</v>
      </c>
      <c r="G110" t="s">
        <v>2198</v>
      </c>
      <c r="H110" t="s">
        <v>1133</v>
      </c>
      <c r="I110" t="s">
        <v>1192</v>
      </c>
      <c r="J110" t="s">
        <v>2200</v>
      </c>
      <c r="M110" t="s">
        <v>2298</v>
      </c>
    </row>
    <row r="111" spans="1:13" ht="15" customHeight="1" x14ac:dyDescent="0.3">
      <c r="A111" t="s">
        <v>361</v>
      </c>
      <c r="B111" t="s">
        <v>353</v>
      </c>
      <c r="C111">
        <v>523553</v>
      </c>
      <c r="D111">
        <v>101035140</v>
      </c>
      <c r="E111" t="s">
        <v>362</v>
      </c>
      <c r="G111" t="s">
        <v>2198</v>
      </c>
      <c r="H111" t="s">
        <v>2306</v>
      </c>
      <c r="I111" t="s">
        <v>1174</v>
      </c>
      <c r="M111" t="s">
        <v>2298</v>
      </c>
    </row>
    <row r="112" spans="1:13" ht="15" customHeight="1" x14ac:dyDescent="0.3">
      <c r="A112" t="s">
        <v>363</v>
      </c>
      <c r="B112" t="s">
        <v>353</v>
      </c>
      <c r="C112">
        <v>523553</v>
      </c>
      <c r="D112">
        <v>100060215</v>
      </c>
      <c r="E112" t="s">
        <v>364</v>
      </c>
      <c r="F112" t="s">
        <v>2307</v>
      </c>
      <c r="G112" t="s">
        <v>2198</v>
      </c>
      <c r="H112" t="s">
        <v>1244</v>
      </c>
      <c r="I112" t="s">
        <v>2308</v>
      </c>
      <c r="L112" t="s">
        <v>2309</v>
      </c>
    </row>
    <row r="113" spans="1:13" ht="15" customHeight="1" x14ac:dyDescent="0.3">
      <c r="A113" t="s">
        <v>365</v>
      </c>
      <c r="B113" t="s">
        <v>353</v>
      </c>
      <c r="C113">
        <v>523553</v>
      </c>
      <c r="D113">
        <v>101035108</v>
      </c>
      <c r="E113" t="s">
        <v>366</v>
      </c>
      <c r="G113" t="s">
        <v>2198</v>
      </c>
      <c r="H113" t="s">
        <v>2310</v>
      </c>
      <c r="I113" t="s">
        <v>2311</v>
      </c>
      <c r="M113" t="s">
        <v>2298</v>
      </c>
    </row>
    <row r="114" spans="1:13" ht="15" customHeight="1" x14ac:dyDescent="0.3">
      <c r="A114" t="s">
        <v>367</v>
      </c>
      <c r="B114" t="s">
        <v>353</v>
      </c>
      <c r="C114">
        <v>523553</v>
      </c>
      <c r="D114">
        <v>101035145</v>
      </c>
      <c r="E114" t="s">
        <v>368</v>
      </c>
      <c r="G114" t="s">
        <v>2198</v>
      </c>
      <c r="H114" t="s">
        <v>1355</v>
      </c>
      <c r="I114" t="s">
        <v>2312</v>
      </c>
      <c r="M114" t="s">
        <v>2298</v>
      </c>
    </row>
    <row r="115" spans="1:13" ht="15" customHeight="1" x14ac:dyDescent="0.3">
      <c r="A115" t="s">
        <v>369</v>
      </c>
      <c r="B115" t="s">
        <v>353</v>
      </c>
      <c r="C115">
        <v>523553</v>
      </c>
      <c r="D115">
        <v>101047848</v>
      </c>
      <c r="G115" t="s">
        <v>2198</v>
      </c>
      <c r="H115" t="s">
        <v>2547</v>
      </c>
      <c r="I115" t="s">
        <v>2548</v>
      </c>
      <c r="K115" t="s">
        <v>2431</v>
      </c>
      <c r="M115" t="s">
        <v>2298</v>
      </c>
    </row>
    <row r="116" spans="1:13" ht="15" customHeight="1" x14ac:dyDescent="0.3">
      <c r="A116" t="s">
        <v>370</v>
      </c>
      <c r="B116" t="s">
        <v>353</v>
      </c>
      <c r="C116">
        <v>523553</v>
      </c>
      <c r="D116">
        <v>100060214</v>
      </c>
      <c r="E116" t="s">
        <v>371</v>
      </c>
      <c r="F116" t="s">
        <v>2549</v>
      </c>
      <c r="G116" t="s">
        <v>2198</v>
      </c>
      <c r="H116" t="s">
        <v>2550</v>
      </c>
      <c r="I116" t="s">
        <v>2551</v>
      </c>
      <c r="L116" t="s">
        <v>2552</v>
      </c>
      <c r="M116" t="s">
        <v>2553</v>
      </c>
    </row>
    <row r="117" spans="1:13" ht="15" customHeight="1" x14ac:dyDescent="0.3">
      <c r="A117" t="s">
        <v>372</v>
      </c>
      <c r="B117" t="s">
        <v>353</v>
      </c>
      <c r="C117">
        <v>523553</v>
      </c>
      <c r="D117">
        <v>101035141</v>
      </c>
      <c r="E117" t="s">
        <v>373</v>
      </c>
      <c r="G117" t="s">
        <v>2198</v>
      </c>
      <c r="H117" t="s">
        <v>2554</v>
      </c>
      <c r="I117" t="s">
        <v>2555</v>
      </c>
      <c r="M117" t="s">
        <v>2298</v>
      </c>
    </row>
    <row r="118" spans="1:13" ht="15" customHeight="1" x14ac:dyDescent="0.3">
      <c r="A118" t="s">
        <v>374</v>
      </c>
      <c r="B118" t="s">
        <v>353</v>
      </c>
      <c r="C118">
        <v>523553</v>
      </c>
      <c r="D118">
        <v>101047870</v>
      </c>
      <c r="E118" t="s">
        <v>375</v>
      </c>
      <c r="G118" t="s">
        <v>2198</v>
      </c>
      <c r="H118" t="s">
        <v>2556</v>
      </c>
      <c r="I118" t="s">
        <v>2557</v>
      </c>
      <c r="M118" t="s">
        <v>2298</v>
      </c>
    </row>
    <row r="119" spans="1:13" ht="15" customHeight="1" x14ac:dyDescent="0.3">
      <c r="A119" t="s">
        <v>376</v>
      </c>
      <c r="B119" t="s">
        <v>353</v>
      </c>
      <c r="C119">
        <v>523553</v>
      </c>
      <c r="D119">
        <v>101035122</v>
      </c>
      <c r="E119" t="s">
        <v>377</v>
      </c>
      <c r="F119" t="s">
        <v>2558</v>
      </c>
      <c r="G119" t="s">
        <v>2198</v>
      </c>
      <c r="H119" t="s">
        <v>2559</v>
      </c>
      <c r="I119" t="s">
        <v>1102</v>
      </c>
      <c r="M119" t="s">
        <v>2298</v>
      </c>
    </row>
    <row r="120" spans="1:13" ht="15" customHeight="1" x14ac:dyDescent="0.3">
      <c r="A120" t="s">
        <v>378</v>
      </c>
      <c r="B120" t="s">
        <v>353</v>
      </c>
      <c r="C120">
        <v>523553</v>
      </c>
      <c r="D120">
        <v>101041311</v>
      </c>
      <c r="E120" t="s">
        <v>379</v>
      </c>
      <c r="F120" t="s">
        <v>2560</v>
      </c>
      <c r="G120" t="s">
        <v>2386</v>
      </c>
      <c r="H120" t="s">
        <v>2561</v>
      </c>
      <c r="I120" t="s">
        <v>2562</v>
      </c>
      <c r="M120" t="s">
        <v>2298</v>
      </c>
    </row>
    <row r="121" spans="1:13" ht="15" customHeight="1" x14ac:dyDescent="0.3">
      <c r="A121" t="s">
        <v>380</v>
      </c>
      <c r="B121" t="s">
        <v>353</v>
      </c>
      <c r="C121">
        <v>523553</v>
      </c>
      <c r="D121">
        <v>101035146</v>
      </c>
      <c r="E121" t="s">
        <v>381</v>
      </c>
      <c r="G121" t="s">
        <v>2198</v>
      </c>
      <c r="H121" t="s">
        <v>1148</v>
      </c>
      <c r="I121" t="s">
        <v>2563</v>
      </c>
      <c r="M121" t="s">
        <v>2298</v>
      </c>
    </row>
    <row r="122" spans="1:13" ht="15" customHeight="1" x14ac:dyDescent="0.3">
      <c r="A122" t="s">
        <v>382</v>
      </c>
      <c r="B122" t="s">
        <v>353</v>
      </c>
      <c r="C122">
        <v>523553</v>
      </c>
      <c r="D122">
        <v>101035147</v>
      </c>
      <c r="E122" t="s">
        <v>383</v>
      </c>
      <c r="G122" t="s">
        <v>2198</v>
      </c>
      <c r="H122" t="s">
        <v>1097</v>
      </c>
      <c r="I122" t="s">
        <v>2564</v>
      </c>
      <c r="M122" t="s">
        <v>2298</v>
      </c>
    </row>
    <row r="123" spans="1:13" ht="15" customHeight="1" x14ac:dyDescent="0.3">
      <c r="A123" t="s">
        <v>384</v>
      </c>
      <c r="B123" t="s">
        <v>353</v>
      </c>
      <c r="C123">
        <v>523553</v>
      </c>
      <c r="D123">
        <v>101068610</v>
      </c>
      <c r="E123" t="s">
        <v>385</v>
      </c>
      <c r="F123" t="s">
        <v>2565</v>
      </c>
      <c r="G123" t="s">
        <v>2386</v>
      </c>
      <c r="H123" t="s">
        <v>2259</v>
      </c>
      <c r="I123" t="s">
        <v>2566</v>
      </c>
      <c r="J123" t="s">
        <v>4874</v>
      </c>
      <c r="M123" t="s">
        <v>2298</v>
      </c>
    </row>
    <row r="124" spans="1:13" ht="15" customHeight="1" x14ac:dyDescent="0.3">
      <c r="A124" t="s">
        <v>386</v>
      </c>
      <c r="B124" t="s">
        <v>353</v>
      </c>
      <c r="C124">
        <v>523553</v>
      </c>
      <c r="D124">
        <v>101035105</v>
      </c>
      <c r="E124" t="s">
        <v>387</v>
      </c>
      <c r="G124" t="s">
        <v>2198</v>
      </c>
      <c r="H124" t="s">
        <v>1196</v>
      </c>
      <c r="I124" t="s">
        <v>2567</v>
      </c>
      <c r="M124" t="s">
        <v>2298</v>
      </c>
    </row>
    <row r="125" spans="1:13" ht="15" customHeight="1" x14ac:dyDescent="0.3">
      <c r="A125" t="s">
        <v>388</v>
      </c>
      <c r="B125" t="s">
        <v>353</v>
      </c>
      <c r="C125">
        <v>523553</v>
      </c>
      <c r="D125">
        <v>101035143</v>
      </c>
      <c r="E125" t="s">
        <v>389</v>
      </c>
      <c r="G125" t="s">
        <v>2386</v>
      </c>
      <c r="H125" t="s">
        <v>2568</v>
      </c>
      <c r="I125" t="s">
        <v>2569</v>
      </c>
      <c r="M125" t="s">
        <v>2298</v>
      </c>
    </row>
    <row r="126" spans="1:13" ht="15" customHeight="1" x14ac:dyDescent="0.3">
      <c r="A126" t="s">
        <v>390</v>
      </c>
      <c r="B126" t="s">
        <v>353</v>
      </c>
      <c r="C126">
        <v>523553</v>
      </c>
      <c r="D126">
        <v>101035144</v>
      </c>
      <c r="E126" t="s">
        <v>391</v>
      </c>
      <c r="G126" t="s">
        <v>2198</v>
      </c>
      <c r="H126" t="s">
        <v>1097</v>
      </c>
      <c r="I126" t="s">
        <v>1091</v>
      </c>
      <c r="L126" t="s">
        <v>2570</v>
      </c>
      <c r="M126" t="s">
        <v>2298</v>
      </c>
    </row>
    <row r="127" spans="1:13" ht="15" customHeight="1" x14ac:dyDescent="0.3">
      <c r="A127" t="s">
        <v>392</v>
      </c>
      <c r="B127" t="s">
        <v>353</v>
      </c>
      <c r="C127">
        <v>523553</v>
      </c>
      <c r="D127">
        <v>101035106</v>
      </c>
      <c r="E127" t="s">
        <v>393</v>
      </c>
      <c r="G127" t="s">
        <v>2198</v>
      </c>
      <c r="H127" t="s">
        <v>1164</v>
      </c>
      <c r="I127" t="s">
        <v>2571</v>
      </c>
      <c r="M127" t="s">
        <v>2298</v>
      </c>
    </row>
    <row r="128" spans="1:13" ht="15" customHeight="1" x14ac:dyDescent="0.3">
      <c r="A128" t="s">
        <v>394</v>
      </c>
      <c r="B128" t="s">
        <v>353</v>
      </c>
      <c r="C128">
        <v>523553</v>
      </c>
      <c r="D128">
        <v>101047865</v>
      </c>
      <c r="E128" t="s">
        <v>395</v>
      </c>
      <c r="G128" t="s">
        <v>2198</v>
      </c>
      <c r="H128" t="s">
        <v>2572</v>
      </c>
      <c r="I128" t="s">
        <v>2573</v>
      </c>
      <c r="M128" t="s">
        <v>2298</v>
      </c>
    </row>
    <row r="129" spans="1:13" ht="15" customHeight="1" x14ac:dyDescent="0.3">
      <c r="A129" t="s">
        <v>396</v>
      </c>
      <c r="B129" t="s">
        <v>353</v>
      </c>
      <c r="C129">
        <v>523553</v>
      </c>
      <c r="D129">
        <v>101071231</v>
      </c>
      <c r="E129" t="s">
        <v>397</v>
      </c>
      <c r="G129" t="s">
        <v>2198</v>
      </c>
      <c r="H129" t="s">
        <v>2574</v>
      </c>
      <c r="I129" t="s">
        <v>2575</v>
      </c>
      <c r="J129" t="s">
        <v>2200</v>
      </c>
      <c r="M129" t="s">
        <v>2298</v>
      </c>
    </row>
    <row r="130" spans="1:13" ht="15" customHeight="1" x14ac:dyDescent="0.3">
      <c r="A130" t="s">
        <v>398</v>
      </c>
      <c r="B130" t="s">
        <v>353</v>
      </c>
      <c r="C130">
        <v>523553</v>
      </c>
      <c r="D130">
        <v>101047862</v>
      </c>
      <c r="E130" t="s">
        <v>399</v>
      </c>
      <c r="G130" t="s">
        <v>2198</v>
      </c>
      <c r="H130" t="s">
        <v>1161</v>
      </c>
      <c r="I130" t="s">
        <v>2576</v>
      </c>
      <c r="M130" t="s">
        <v>2298</v>
      </c>
    </row>
    <row r="131" spans="1:13" ht="15" customHeight="1" x14ac:dyDescent="0.3">
      <c r="A131" t="s">
        <v>400</v>
      </c>
      <c r="B131" t="s">
        <v>353</v>
      </c>
      <c r="C131">
        <v>523553</v>
      </c>
      <c r="D131">
        <v>101035148</v>
      </c>
      <c r="E131" t="s">
        <v>401</v>
      </c>
      <c r="G131" t="s">
        <v>2198</v>
      </c>
      <c r="H131" t="s">
        <v>2577</v>
      </c>
      <c r="I131" t="s">
        <v>2322</v>
      </c>
      <c r="M131" t="s">
        <v>2298</v>
      </c>
    </row>
    <row r="132" spans="1:13" ht="15" customHeight="1" x14ac:dyDescent="0.3">
      <c r="A132" t="s">
        <v>402</v>
      </c>
      <c r="B132" t="s">
        <v>353</v>
      </c>
      <c r="C132">
        <v>523553</v>
      </c>
      <c r="D132">
        <v>101027938</v>
      </c>
      <c r="E132" t="s">
        <v>403</v>
      </c>
      <c r="G132" t="s">
        <v>2198</v>
      </c>
      <c r="H132" t="s">
        <v>2578</v>
      </c>
      <c r="I132" t="s">
        <v>2579</v>
      </c>
      <c r="M132" t="s">
        <v>2580</v>
      </c>
    </row>
    <row r="133" spans="1:13" ht="15" customHeight="1" x14ac:dyDescent="0.3">
      <c r="A133" t="s">
        <v>404</v>
      </c>
      <c r="B133" t="s">
        <v>353</v>
      </c>
      <c r="C133">
        <v>523553</v>
      </c>
      <c r="D133">
        <v>100060216</v>
      </c>
      <c r="E133" t="s">
        <v>405</v>
      </c>
      <c r="G133" t="s">
        <v>2198</v>
      </c>
      <c r="H133" t="s">
        <v>1269</v>
      </c>
      <c r="I133" t="s">
        <v>2581</v>
      </c>
      <c r="M133" t="s">
        <v>2582</v>
      </c>
    </row>
    <row r="134" spans="1:13" ht="15" customHeight="1" x14ac:dyDescent="0.3">
      <c r="A134" t="s">
        <v>878</v>
      </c>
      <c r="B134" t="s">
        <v>353</v>
      </c>
      <c r="C134">
        <v>523553</v>
      </c>
      <c r="D134">
        <v>101092874</v>
      </c>
      <c r="E134" t="s">
        <v>879</v>
      </c>
      <c r="G134" t="s">
        <v>2198</v>
      </c>
      <c r="H134" t="s">
        <v>1135</v>
      </c>
      <c r="I134" t="s">
        <v>2583</v>
      </c>
      <c r="J134" t="s">
        <v>2200</v>
      </c>
      <c r="M134" t="s">
        <v>2298</v>
      </c>
    </row>
    <row r="135" spans="1:13" ht="15" customHeight="1" x14ac:dyDescent="0.3">
      <c r="A135" t="s">
        <v>4875</v>
      </c>
      <c r="B135" t="s">
        <v>4876</v>
      </c>
      <c r="C135">
        <v>532264</v>
      </c>
      <c r="D135">
        <v>100745995</v>
      </c>
      <c r="E135" t="s">
        <v>4877</v>
      </c>
      <c r="G135" t="s">
        <v>2198</v>
      </c>
      <c r="H135" t="s">
        <v>2515</v>
      </c>
      <c r="I135" t="s">
        <v>4878</v>
      </c>
      <c r="K135" t="s">
        <v>4879</v>
      </c>
      <c r="M135" t="s">
        <v>4880</v>
      </c>
    </row>
    <row r="136" spans="1:13" ht="15" customHeight="1" x14ac:dyDescent="0.3">
      <c r="A136" t="s">
        <v>4881</v>
      </c>
      <c r="B136" t="s">
        <v>4876</v>
      </c>
      <c r="C136">
        <v>532264</v>
      </c>
      <c r="D136">
        <v>100745988</v>
      </c>
      <c r="G136" t="s">
        <v>2198</v>
      </c>
      <c r="H136" t="s">
        <v>4882</v>
      </c>
      <c r="I136" t="s">
        <v>4883</v>
      </c>
      <c r="L136" t="s">
        <v>4761</v>
      </c>
      <c r="M136" t="s">
        <v>4884</v>
      </c>
    </row>
    <row r="137" spans="1:13" ht="15" customHeight="1" x14ac:dyDescent="0.3">
      <c r="A137" t="s">
        <v>4885</v>
      </c>
      <c r="B137" t="s">
        <v>4876</v>
      </c>
      <c r="C137">
        <v>532264</v>
      </c>
      <c r="D137">
        <v>100745989</v>
      </c>
      <c r="G137" t="s">
        <v>2198</v>
      </c>
      <c r="H137" t="s">
        <v>3287</v>
      </c>
      <c r="I137" t="s">
        <v>2290</v>
      </c>
      <c r="M137" t="s">
        <v>4880</v>
      </c>
    </row>
    <row r="138" spans="1:13" ht="15" customHeight="1" x14ac:dyDescent="0.3">
      <c r="A138" t="s">
        <v>4886</v>
      </c>
      <c r="B138" t="s">
        <v>4876</v>
      </c>
      <c r="C138">
        <v>532264</v>
      </c>
      <c r="D138">
        <v>100745992</v>
      </c>
      <c r="E138" t="s">
        <v>4887</v>
      </c>
      <c r="G138" t="s">
        <v>2198</v>
      </c>
      <c r="H138" t="s">
        <v>1097</v>
      </c>
      <c r="I138" t="s">
        <v>4888</v>
      </c>
      <c r="J138" t="s">
        <v>2200</v>
      </c>
      <c r="K138" t="s">
        <v>4889</v>
      </c>
      <c r="M138" t="s">
        <v>4880</v>
      </c>
    </row>
    <row r="139" spans="1:13" ht="15" customHeight="1" x14ac:dyDescent="0.3">
      <c r="A139" t="s">
        <v>34</v>
      </c>
      <c r="B139" t="s">
        <v>4876</v>
      </c>
      <c r="C139">
        <v>532264</v>
      </c>
      <c r="D139">
        <v>100745994</v>
      </c>
      <c r="E139" t="s">
        <v>4890</v>
      </c>
      <c r="G139" t="s">
        <v>2198</v>
      </c>
      <c r="H139" t="s">
        <v>2572</v>
      </c>
      <c r="I139" t="s">
        <v>4891</v>
      </c>
      <c r="K139" t="s">
        <v>4892</v>
      </c>
      <c r="M139" t="s">
        <v>4880</v>
      </c>
    </row>
    <row r="140" spans="1:13" ht="15" customHeight="1" x14ac:dyDescent="0.3">
      <c r="A140" t="s">
        <v>4893</v>
      </c>
      <c r="B140" t="s">
        <v>4876</v>
      </c>
      <c r="C140">
        <v>532264</v>
      </c>
      <c r="D140">
        <v>100745990</v>
      </c>
      <c r="G140" t="s">
        <v>2198</v>
      </c>
      <c r="H140" t="s">
        <v>1226</v>
      </c>
      <c r="I140" t="s">
        <v>4894</v>
      </c>
      <c r="M140" t="s">
        <v>4880</v>
      </c>
    </row>
    <row r="141" spans="1:13" ht="15" customHeight="1" x14ac:dyDescent="0.3">
      <c r="A141" t="s">
        <v>4895</v>
      </c>
      <c r="B141" t="s">
        <v>4876</v>
      </c>
      <c r="C141">
        <v>532264</v>
      </c>
      <c r="D141">
        <v>100745991</v>
      </c>
      <c r="E141" t="s">
        <v>4896</v>
      </c>
      <c r="G141" t="s">
        <v>2198</v>
      </c>
      <c r="H141" t="s">
        <v>1244</v>
      </c>
      <c r="I141" t="s">
        <v>4897</v>
      </c>
      <c r="J141" t="s">
        <v>2200</v>
      </c>
      <c r="M141" t="s">
        <v>4880</v>
      </c>
    </row>
    <row r="142" spans="1:13" ht="15" customHeight="1" x14ac:dyDescent="0.3">
      <c r="A142" t="s">
        <v>4898</v>
      </c>
      <c r="B142" t="s">
        <v>4876</v>
      </c>
      <c r="C142">
        <v>532264</v>
      </c>
      <c r="D142">
        <v>100745993</v>
      </c>
      <c r="E142" t="s">
        <v>4899</v>
      </c>
      <c r="G142" t="s">
        <v>2198</v>
      </c>
      <c r="H142" t="s">
        <v>1093</v>
      </c>
      <c r="I142" t="s">
        <v>2590</v>
      </c>
      <c r="J142" t="s">
        <v>2200</v>
      </c>
      <c r="M142" t="s">
        <v>4880</v>
      </c>
    </row>
    <row r="143" spans="1:13" ht="15" customHeight="1" x14ac:dyDescent="0.3">
      <c r="A143" t="s">
        <v>1952</v>
      </c>
      <c r="B143" t="s">
        <v>4900</v>
      </c>
      <c r="C143">
        <v>120168754</v>
      </c>
      <c r="D143">
        <v>120169737</v>
      </c>
      <c r="E143" t="s">
        <v>1955</v>
      </c>
      <c r="G143" t="s">
        <v>2198</v>
      </c>
      <c r="H143" t="s">
        <v>1143</v>
      </c>
      <c r="I143" t="s">
        <v>4901</v>
      </c>
      <c r="J143" t="s">
        <v>2200</v>
      </c>
      <c r="L143" t="s">
        <v>2432</v>
      </c>
    </row>
    <row r="144" spans="1:13" ht="15" customHeight="1" x14ac:dyDescent="0.3">
      <c r="A144" t="s">
        <v>4277</v>
      </c>
      <c r="B144" t="s">
        <v>4278</v>
      </c>
      <c r="C144">
        <v>527161</v>
      </c>
      <c r="D144">
        <v>120210008</v>
      </c>
      <c r="E144" t="s">
        <v>4279</v>
      </c>
      <c r="G144" t="s">
        <v>2198</v>
      </c>
      <c r="H144" t="s">
        <v>1143</v>
      </c>
      <c r="I144" t="s">
        <v>2326</v>
      </c>
      <c r="J144" t="s">
        <v>2200</v>
      </c>
    </row>
    <row r="145" spans="1:13" ht="15" customHeight="1" x14ac:dyDescent="0.3">
      <c r="A145" t="s">
        <v>4280</v>
      </c>
      <c r="B145" t="s">
        <v>4278</v>
      </c>
      <c r="C145">
        <v>527161</v>
      </c>
      <c r="D145">
        <v>100739308</v>
      </c>
      <c r="E145" t="s">
        <v>4281</v>
      </c>
      <c r="G145" t="s">
        <v>2198</v>
      </c>
      <c r="H145" t="s">
        <v>1115</v>
      </c>
      <c r="I145" t="s">
        <v>4282</v>
      </c>
      <c r="K145" t="s">
        <v>4283</v>
      </c>
      <c r="M145" t="s">
        <v>4284</v>
      </c>
    </row>
    <row r="146" spans="1:13" ht="15" customHeight="1" x14ac:dyDescent="0.3">
      <c r="A146" t="s">
        <v>4285</v>
      </c>
      <c r="B146" t="s">
        <v>4278</v>
      </c>
      <c r="C146">
        <v>527161</v>
      </c>
      <c r="D146">
        <v>100739307</v>
      </c>
      <c r="E146" t="s">
        <v>4286</v>
      </c>
      <c r="G146" t="s">
        <v>2198</v>
      </c>
      <c r="H146" t="s">
        <v>1093</v>
      </c>
      <c r="I146" t="s">
        <v>1176</v>
      </c>
      <c r="L146" t="s">
        <v>4270</v>
      </c>
      <c r="M146" t="s">
        <v>4287</v>
      </c>
    </row>
    <row r="147" spans="1:13" ht="15" customHeight="1" x14ac:dyDescent="0.3">
      <c r="A147" t="s">
        <v>4288</v>
      </c>
      <c r="B147" t="s">
        <v>4278</v>
      </c>
      <c r="C147">
        <v>527161</v>
      </c>
      <c r="D147">
        <v>100739305</v>
      </c>
      <c r="E147" t="s">
        <v>4289</v>
      </c>
      <c r="G147" t="s">
        <v>2198</v>
      </c>
      <c r="H147" t="s">
        <v>1119</v>
      </c>
      <c r="I147" t="s">
        <v>4290</v>
      </c>
      <c r="L147" t="s">
        <v>4291</v>
      </c>
      <c r="M147" t="s">
        <v>4284</v>
      </c>
    </row>
    <row r="148" spans="1:13" ht="15" customHeight="1" x14ac:dyDescent="0.3">
      <c r="A148" t="s">
        <v>4292</v>
      </c>
      <c r="B148" t="s">
        <v>4278</v>
      </c>
      <c r="C148">
        <v>527161</v>
      </c>
      <c r="D148">
        <v>100739306</v>
      </c>
      <c r="E148" t="s">
        <v>4293</v>
      </c>
      <c r="G148" t="s">
        <v>2198</v>
      </c>
      <c r="H148" t="s">
        <v>4294</v>
      </c>
      <c r="I148" t="s">
        <v>4159</v>
      </c>
      <c r="L148" t="s">
        <v>4295</v>
      </c>
      <c r="M148" t="s">
        <v>4284</v>
      </c>
    </row>
    <row r="149" spans="1:13" ht="15" customHeight="1" x14ac:dyDescent="0.3">
      <c r="A149" t="s">
        <v>880</v>
      </c>
      <c r="B149" t="s">
        <v>4902</v>
      </c>
      <c r="C149">
        <v>7500609</v>
      </c>
      <c r="D149">
        <v>101082836</v>
      </c>
      <c r="E149" t="s">
        <v>882</v>
      </c>
      <c r="G149" t="s">
        <v>2198</v>
      </c>
      <c r="H149" t="s">
        <v>1136</v>
      </c>
      <c r="I149" t="s">
        <v>2564</v>
      </c>
      <c r="M149" t="s">
        <v>4903</v>
      </c>
    </row>
    <row r="150" spans="1:13" ht="15" customHeight="1" x14ac:dyDescent="0.3">
      <c r="A150" t="s">
        <v>884</v>
      </c>
      <c r="B150" t="s">
        <v>4902</v>
      </c>
      <c r="C150">
        <v>7500609</v>
      </c>
      <c r="D150">
        <v>101082837</v>
      </c>
      <c r="E150" t="s">
        <v>885</v>
      </c>
      <c r="G150" t="s">
        <v>2198</v>
      </c>
      <c r="H150" t="s">
        <v>1138</v>
      </c>
      <c r="I150" t="s">
        <v>4904</v>
      </c>
      <c r="M150" t="s">
        <v>4903</v>
      </c>
    </row>
    <row r="151" spans="1:13" ht="15" customHeight="1" x14ac:dyDescent="0.3">
      <c r="A151" t="s">
        <v>2036</v>
      </c>
      <c r="B151" t="s">
        <v>2037</v>
      </c>
      <c r="C151">
        <v>7500610</v>
      </c>
      <c r="D151">
        <v>120081847</v>
      </c>
      <c r="E151" t="s">
        <v>2038</v>
      </c>
      <c r="G151" t="s">
        <v>2386</v>
      </c>
      <c r="H151" t="s">
        <v>3101</v>
      </c>
      <c r="I151" t="s">
        <v>4905</v>
      </c>
      <c r="J151" t="s">
        <v>2200</v>
      </c>
      <c r="L151" t="s">
        <v>2750</v>
      </c>
    </row>
    <row r="152" spans="1:13" ht="15" customHeight="1" x14ac:dyDescent="0.3">
      <c r="A152" t="s">
        <v>2039</v>
      </c>
      <c r="B152" t="s">
        <v>2037</v>
      </c>
      <c r="C152">
        <v>7500610</v>
      </c>
      <c r="D152">
        <v>120081846</v>
      </c>
      <c r="E152" t="s">
        <v>2040</v>
      </c>
      <c r="G152" t="s">
        <v>2198</v>
      </c>
      <c r="H152" t="s">
        <v>1113</v>
      </c>
      <c r="I152" t="s">
        <v>4905</v>
      </c>
      <c r="J152" t="s">
        <v>2200</v>
      </c>
      <c r="L152" t="s">
        <v>2750</v>
      </c>
    </row>
    <row r="153" spans="1:13" ht="15" customHeight="1" x14ac:dyDescent="0.3">
      <c r="A153" t="s">
        <v>802</v>
      </c>
      <c r="B153" t="s">
        <v>2037</v>
      </c>
      <c r="C153">
        <v>7500610</v>
      </c>
      <c r="D153">
        <v>101076435</v>
      </c>
      <c r="E153" t="s">
        <v>803</v>
      </c>
      <c r="G153" t="s">
        <v>2198</v>
      </c>
      <c r="H153" t="s">
        <v>1082</v>
      </c>
      <c r="I153" t="s">
        <v>1088</v>
      </c>
      <c r="M153" t="s">
        <v>4906</v>
      </c>
    </row>
    <row r="154" spans="1:13" ht="15" customHeight="1" x14ac:dyDescent="0.3">
      <c r="A154" t="s">
        <v>804</v>
      </c>
      <c r="B154" t="s">
        <v>2037</v>
      </c>
      <c r="C154">
        <v>7500610</v>
      </c>
      <c r="D154">
        <v>101076465</v>
      </c>
      <c r="E154" t="s">
        <v>805</v>
      </c>
      <c r="G154" t="s">
        <v>2198</v>
      </c>
      <c r="H154" t="s">
        <v>1083</v>
      </c>
      <c r="I154" t="s">
        <v>1090</v>
      </c>
      <c r="M154" t="s">
        <v>4906</v>
      </c>
    </row>
    <row r="155" spans="1:13" ht="15" customHeight="1" x14ac:dyDescent="0.3">
      <c r="A155" t="s">
        <v>2041</v>
      </c>
      <c r="B155" t="s">
        <v>2037</v>
      </c>
      <c r="C155">
        <v>7500610</v>
      </c>
      <c r="D155">
        <v>101091481</v>
      </c>
      <c r="E155" t="s">
        <v>2042</v>
      </c>
      <c r="G155" t="s">
        <v>2198</v>
      </c>
      <c r="H155" t="s">
        <v>4907</v>
      </c>
      <c r="I155" t="s">
        <v>4908</v>
      </c>
      <c r="L155" t="s">
        <v>4909</v>
      </c>
      <c r="M155" t="s">
        <v>4906</v>
      </c>
    </row>
    <row r="156" spans="1:13" ht="15" customHeight="1" x14ac:dyDescent="0.3">
      <c r="A156" t="s">
        <v>2043</v>
      </c>
      <c r="B156" t="s">
        <v>2037</v>
      </c>
      <c r="C156">
        <v>7500610</v>
      </c>
      <c r="D156">
        <v>101092099</v>
      </c>
      <c r="E156" t="s">
        <v>2044</v>
      </c>
      <c r="F156" t="s">
        <v>2045</v>
      </c>
      <c r="G156" t="s">
        <v>2198</v>
      </c>
      <c r="H156" t="s">
        <v>1162</v>
      </c>
      <c r="I156" t="s">
        <v>4910</v>
      </c>
      <c r="L156" t="s">
        <v>4911</v>
      </c>
      <c r="M156" t="s">
        <v>4906</v>
      </c>
    </row>
    <row r="157" spans="1:13" ht="15" customHeight="1" x14ac:dyDescent="0.3">
      <c r="A157" t="s">
        <v>2046</v>
      </c>
      <c r="B157" t="s">
        <v>2037</v>
      </c>
      <c r="C157">
        <v>7500610</v>
      </c>
      <c r="D157">
        <v>120081849</v>
      </c>
      <c r="E157" t="s">
        <v>2047</v>
      </c>
      <c r="G157" t="s">
        <v>2386</v>
      </c>
      <c r="H157" t="s">
        <v>4912</v>
      </c>
      <c r="I157" t="s">
        <v>4913</v>
      </c>
      <c r="J157" t="s">
        <v>2200</v>
      </c>
      <c r="L157" t="s">
        <v>2750</v>
      </c>
    </row>
    <row r="158" spans="1:13" ht="15" customHeight="1" x14ac:dyDescent="0.3">
      <c r="A158" t="s">
        <v>2048</v>
      </c>
      <c r="B158" t="s">
        <v>2037</v>
      </c>
      <c r="C158">
        <v>7500610</v>
      </c>
      <c r="D158">
        <v>120081960</v>
      </c>
      <c r="E158" t="s">
        <v>2049</v>
      </c>
      <c r="G158" t="s">
        <v>2386</v>
      </c>
      <c r="H158" t="s">
        <v>1178</v>
      </c>
      <c r="I158" t="s">
        <v>4914</v>
      </c>
      <c r="J158" t="s">
        <v>2200</v>
      </c>
      <c r="L158" t="s">
        <v>2750</v>
      </c>
    </row>
    <row r="159" spans="1:13" ht="15" customHeight="1" x14ac:dyDescent="0.3">
      <c r="A159" t="s">
        <v>344</v>
      </c>
      <c r="B159" t="s">
        <v>2037</v>
      </c>
      <c r="C159">
        <v>7500610</v>
      </c>
      <c r="D159">
        <v>101065864</v>
      </c>
      <c r="E159" t="s">
        <v>346</v>
      </c>
      <c r="F159" t="s">
        <v>4915</v>
      </c>
      <c r="G159" t="s">
        <v>2198</v>
      </c>
      <c r="H159" t="s">
        <v>1129</v>
      </c>
      <c r="I159" t="s">
        <v>4916</v>
      </c>
      <c r="L159" t="s">
        <v>4917</v>
      </c>
      <c r="M159" t="s">
        <v>4906</v>
      </c>
    </row>
    <row r="160" spans="1:13" ht="15" customHeight="1" x14ac:dyDescent="0.3">
      <c r="A160" t="s">
        <v>2050</v>
      </c>
      <c r="B160" t="s">
        <v>2037</v>
      </c>
      <c r="C160">
        <v>7500610</v>
      </c>
      <c r="D160">
        <v>120081845</v>
      </c>
      <c r="E160" t="s">
        <v>2051</v>
      </c>
      <c r="G160" t="s">
        <v>2198</v>
      </c>
      <c r="H160" t="s">
        <v>1220</v>
      </c>
      <c r="I160" t="s">
        <v>1176</v>
      </c>
      <c r="J160" t="s">
        <v>2200</v>
      </c>
      <c r="L160" t="s">
        <v>2750</v>
      </c>
    </row>
    <row r="161" spans="1:13" ht="15" customHeight="1" x14ac:dyDescent="0.3">
      <c r="A161" t="s">
        <v>2052</v>
      </c>
      <c r="B161" t="s">
        <v>2037</v>
      </c>
      <c r="C161">
        <v>7500610</v>
      </c>
      <c r="D161">
        <v>120081961</v>
      </c>
      <c r="E161" t="s">
        <v>2053</v>
      </c>
      <c r="G161" t="s">
        <v>2386</v>
      </c>
      <c r="H161" t="s">
        <v>1101</v>
      </c>
      <c r="I161" t="s">
        <v>4918</v>
      </c>
      <c r="J161" t="s">
        <v>2200</v>
      </c>
      <c r="L161" t="s">
        <v>2750</v>
      </c>
    </row>
    <row r="162" spans="1:13" ht="15" customHeight="1" x14ac:dyDescent="0.3">
      <c r="A162" t="s">
        <v>348</v>
      </c>
      <c r="B162" t="s">
        <v>2037</v>
      </c>
      <c r="C162">
        <v>7500610</v>
      </c>
      <c r="D162">
        <v>101065865</v>
      </c>
      <c r="E162" t="s">
        <v>349</v>
      </c>
      <c r="G162" t="s">
        <v>2198</v>
      </c>
      <c r="H162" t="s">
        <v>2639</v>
      </c>
      <c r="I162" t="s">
        <v>4919</v>
      </c>
      <c r="L162" t="s">
        <v>4909</v>
      </c>
      <c r="M162" t="s">
        <v>4906</v>
      </c>
    </row>
    <row r="163" spans="1:13" ht="15" customHeight="1" x14ac:dyDescent="0.3">
      <c r="A163" t="s">
        <v>2054</v>
      </c>
      <c r="B163" t="s">
        <v>2037</v>
      </c>
      <c r="C163">
        <v>7500610</v>
      </c>
      <c r="D163">
        <v>120081848</v>
      </c>
      <c r="E163" t="s">
        <v>2055</v>
      </c>
      <c r="G163" t="s">
        <v>2386</v>
      </c>
      <c r="H163" t="s">
        <v>1241</v>
      </c>
      <c r="I163" t="s">
        <v>4920</v>
      </c>
      <c r="J163" t="s">
        <v>2200</v>
      </c>
      <c r="L163" t="s">
        <v>2750</v>
      </c>
    </row>
    <row r="164" spans="1:13" ht="15" customHeight="1" x14ac:dyDescent="0.3">
      <c r="A164" t="s">
        <v>806</v>
      </c>
      <c r="B164" t="s">
        <v>2037</v>
      </c>
      <c r="C164">
        <v>7500610</v>
      </c>
      <c r="D164">
        <v>101076456</v>
      </c>
      <c r="E164" t="s">
        <v>807</v>
      </c>
      <c r="G164" t="s">
        <v>2198</v>
      </c>
      <c r="H164" t="s">
        <v>1084</v>
      </c>
      <c r="I164" t="s">
        <v>1092</v>
      </c>
      <c r="L164" t="s">
        <v>4921</v>
      </c>
      <c r="M164" t="s">
        <v>4906</v>
      </c>
    </row>
    <row r="165" spans="1:13" ht="15" customHeight="1" x14ac:dyDescent="0.3">
      <c r="A165" t="s">
        <v>808</v>
      </c>
      <c r="B165" t="s">
        <v>2037</v>
      </c>
      <c r="C165">
        <v>7500610</v>
      </c>
      <c r="D165">
        <v>101076449</v>
      </c>
      <c r="E165" t="s">
        <v>809</v>
      </c>
      <c r="G165" t="s">
        <v>2198</v>
      </c>
      <c r="H165" t="s">
        <v>1085</v>
      </c>
      <c r="I165" t="s">
        <v>1094</v>
      </c>
      <c r="M165" t="s">
        <v>4906</v>
      </c>
    </row>
    <row r="166" spans="1:13" ht="15" customHeight="1" x14ac:dyDescent="0.3">
      <c r="A166" t="s">
        <v>810</v>
      </c>
      <c r="B166" t="s">
        <v>2037</v>
      </c>
      <c r="C166">
        <v>7500610</v>
      </c>
      <c r="D166">
        <v>101076455</v>
      </c>
      <c r="E166" t="s">
        <v>811</v>
      </c>
      <c r="G166" t="s">
        <v>2198</v>
      </c>
      <c r="H166" t="s">
        <v>1086</v>
      </c>
      <c r="I166" t="s">
        <v>1096</v>
      </c>
      <c r="M166" t="s">
        <v>4906</v>
      </c>
    </row>
    <row r="167" spans="1:13" x14ac:dyDescent="0.3">
      <c r="A167" t="s">
        <v>812</v>
      </c>
      <c r="B167" t="s">
        <v>2037</v>
      </c>
      <c r="C167">
        <v>7500610</v>
      </c>
      <c r="D167">
        <v>101076436</v>
      </c>
      <c r="E167" t="s">
        <v>813</v>
      </c>
      <c r="G167" t="s">
        <v>2198</v>
      </c>
      <c r="H167" t="s">
        <v>1087</v>
      </c>
      <c r="I167" t="s">
        <v>1098</v>
      </c>
      <c r="M167" t="s">
        <v>4906</v>
      </c>
    </row>
    <row r="168" spans="1:13" x14ac:dyDescent="0.3">
      <c r="A168" t="s">
        <v>2056</v>
      </c>
      <c r="B168" t="s">
        <v>2037</v>
      </c>
      <c r="C168">
        <v>7500610</v>
      </c>
      <c r="D168">
        <v>120171340</v>
      </c>
      <c r="E168" t="s">
        <v>2057</v>
      </c>
      <c r="G168" t="s">
        <v>2198</v>
      </c>
      <c r="H168" t="s">
        <v>1091</v>
      </c>
      <c r="I168" t="s">
        <v>2706</v>
      </c>
      <c r="J168" t="s">
        <v>2200</v>
      </c>
    </row>
    <row r="169" spans="1:13" x14ac:dyDescent="0.3">
      <c r="A169" t="s">
        <v>350</v>
      </c>
      <c r="B169" t="s">
        <v>2037</v>
      </c>
      <c r="C169">
        <v>7500610</v>
      </c>
      <c r="D169">
        <v>101065866</v>
      </c>
      <c r="E169" t="s">
        <v>351</v>
      </c>
      <c r="G169" t="s">
        <v>2198</v>
      </c>
      <c r="H169" t="s">
        <v>4922</v>
      </c>
      <c r="I169" t="s">
        <v>1172</v>
      </c>
      <c r="L169" t="s">
        <v>4909</v>
      </c>
      <c r="M169" t="s">
        <v>4906</v>
      </c>
    </row>
    <row r="170" spans="1:13" x14ac:dyDescent="0.3">
      <c r="A170" t="s">
        <v>1951</v>
      </c>
      <c r="B170" t="s">
        <v>2037</v>
      </c>
      <c r="C170">
        <v>7500610</v>
      </c>
      <c r="D170">
        <v>120169736</v>
      </c>
      <c r="E170" t="s">
        <v>1954</v>
      </c>
      <c r="G170" t="s">
        <v>2198</v>
      </c>
      <c r="H170" t="s">
        <v>1269</v>
      </c>
      <c r="I170" t="s">
        <v>4923</v>
      </c>
      <c r="J170" t="s">
        <v>2200</v>
      </c>
      <c r="L170" t="s">
        <v>2432</v>
      </c>
    </row>
    <row r="171" spans="1:13" x14ac:dyDescent="0.3">
      <c r="A171" t="s">
        <v>2058</v>
      </c>
      <c r="B171" t="s">
        <v>2037</v>
      </c>
      <c r="C171">
        <v>7500610</v>
      </c>
      <c r="D171">
        <v>120171289</v>
      </c>
      <c r="E171" t="s">
        <v>2059</v>
      </c>
      <c r="G171" t="s">
        <v>2198</v>
      </c>
      <c r="H171" t="s">
        <v>2488</v>
      </c>
      <c r="I171" t="s">
        <v>4924</v>
      </c>
      <c r="J171" t="s">
        <v>2200</v>
      </c>
    </row>
    <row r="172" spans="1:13" x14ac:dyDescent="0.3">
      <c r="A172" t="s">
        <v>2060</v>
      </c>
      <c r="B172" t="s">
        <v>2037</v>
      </c>
      <c r="C172">
        <v>7500610</v>
      </c>
      <c r="D172">
        <v>101091482</v>
      </c>
      <c r="E172" t="s">
        <v>2061</v>
      </c>
      <c r="G172" t="s">
        <v>2198</v>
      </c>
      <c r="H172" t="s">
        <v>4925</v>
      </c>
      <c r="I172" t="s">
        <v>4926</v>
      </c>
      <c r="L172" t="s">
        <v>4909</v>
      </c>
      <c r="M172" t="s">
        <v>4906</v>
      </c>
    </row>
    <row r="173" spans="1:13" x14ac:dyDescent="0.3">
      <c r="A173" t="s">
        <v>2177</v>
      </c>
      <c r="B173" t="s">
        <v>2178</v>
      </c>
      <c r="C173">
        <v>120171844</v>
      </c>
      <c r="D173">
        <v>120172020</v>
      </c>
      <c r="E173" t="s">
        <v>2395</v>
      </c>
      <c r="G173" t="s">
        <v>2198</v>
      </c>
      <c r="H173" t="s">
        <v>2396</v>
      </c>
      <c r="I173" t="s">
        <v>2397</v>
      </c>
      <c r="J173" t="s">
        <v>2200</v>
      </c>
    </row>
    <row r="174" spans="1:13" x14ac:dyDescent="0.3">
      <c r="A174" t="s">
        <v>2005</v>
      </c>
      <c r="B174" t="s">
        <v>2003</v>
      </c>
      <c r="C174">
        <v>120169796</v>
      </c>
      <c r="D174">
        <v>120171238</v>
      </c>
      <c r="E174" t="s">
        <v>4927</v>
      </c>
      <c r="G174" t="s">
        <v>2198</v>
      </c>
      <c r="H174" t="s">
        <v>2848</v>
      </c>
      <c r="I174" t="s">
        <v>4928</v>
      </c>
      <c r="J174" t="s">
        <v>2200</v>
      </c>
    </row>
    <row r="175" spans="1:13" x14ac:dyDescent="0.3">
      <c r="A175" t="s">
        <v>2004</v>
      </c>
      <c r="B175" t="s">
        <v>2003</v>
      </c>
      <c r="C175">
        <v>120169796</v>
      </c>
      <c r="D175">
        <v>120171237</v>
      </c>
      <c r="E175" t="s">
        <v>4929</v>
      </c>
      <c r="G175" t="s">
        <v>2198</v>
      </c>
      <c r="H175" t="s">
        <v>1162</v>
      </c>
      <c r="I175" t="s">
        <v>1240</v>
      </c>
      <c r="J175" t="s">
        <v>2200</v>
      </c>
    </row>
    <row r="176" spans="1:13" x14ac:dyDescent="0.3">
      <c r="A176" t="s">
        <v>2002</v>
      </c>
      <c r="B176" t="s">
        <v>2003</v>
      </c>
      <c r="C176">
        <v>120169796</v>
      </c>
      <c r="D176">
        <v>120171236</v>
      </c>
      <c r="E176" t="s">
        <v>4930</v>
      </c>
      <c r="G176" t="s">
        <v>2198</v>
      </c>
      <c r="H176" t="s">
        <v>3114</v>
      </c>
      <c r="I176" t="s">
        <v>4931</v>
      </c>
      <c r="J176" t="s">
        <v>2200</v>
      </c>
    </row>
    <row r="177" spans="1:13" x14ac:dyDescent="0.3">
      <c r="A177" t="s">
        <v>4343</v>
      </c>
      <c r="B177" t="s">
        <v>4344</v>
      </c>
      <c r="C177">
        <v>510794</v>
      </c>
      <c r="D177">
        <v>100729036</v>
      </c>
      <c r="G177" t="s">
        <v>2198</v>
      </c>
      <c r="H177" t="s">
        <v>4345</v>
      </c>
      <c r="I177" t="s">
        <v>4346</v>
      </c>
      <c r="K177" t="s">
        <v>2431</v>
      </c>
      <c r="M177" t="s">
        <v>4347</v>
      </c>
    </row>
    <row r="178" spans="1:13" x14ac:dyDescent="0.3">
      <c r="A178" t="s">
        <v>4348</v>
      </c>
      <c r="B178" t="s">
        <v>4344</v>
      </c>
      <c r="C178">
        <v>510794</v>
      </c>
      <c r="D178">
        <v>100729024</v>
      </c>
      <c r="E178" t="s">
        <v>4349</v>
      </c>
      <c r="G178" t="s">
        <v>2198</v>
      </c>
      <c r="H178" t="s">
        <v>4350</v>
      </c>
      <c r="I178" t="s">
        <v>4351</v>
      </c>
      <c r="L178" t="s">
        <v>4352</v>
      </c>
      <c r="M178" t="s">
        <v>4353</v>
      </c>
    </row>
    <row r="179" spans="1:13" x14ac:dyDescent="0.3">
      <c r="A179" t="s">
        <v>4354</v>
      </c>
      <c r="B179" t="s">
        <v>4344</v>
      </c>
      <c r="C179">
        <v>510794</v>
      </c>
      <c r="D179">
        <v>100729028</v>
      </c>
      <c r="E179" t="s">
        <v>4355</v>
      </c>
      <c r="G179" t="s">
        <v>2198</v>
      </c>
      <c r="H179" t="s">
        <v>1089</v>
      </c>
      <c r="I179" t="s">
        <v>4356</v>
      </c>
      <c r="L179" t="s">
        <v>2343</v>
      </c>
      <c r="M179" t="s">
        <v>4347</v>
      </c>
    </row>
    <row r="180" spans="1:13" x14ac:dyDescent="0.3">
      <c r="A180" t="s">
        <v>4357</v>
      </c>
      <c r="B180" t="s">
        <v>4344</v>
      </c>
      <c r="C180">
        <v>510794</v>
      </c>
      <c r="D180">
        <v>100729040</v>
      </c>
      <c r="E180" t="s">
        <v>4358</v>
      </c>
      <c r="G180" t="s">
        <v>2198</v>
      </c>
      <c r="H180" t="s">
        <v>1161</v>
      </c>
      <c r="I180" t="s">
        <v>4359</v>
      </c>
      <c r="K180" t="s">
        <v>2431</v>
      </c>
      <c r="L180" t="s">
        <v>4360</v>
      </c>
      <c r="M180" t="s">
        <v>4361</v>
      </c>
    </row>
    <row r="181" spans="1:13" x14ac:dyDescent="0.3">
      <c r="A181" t="s">
        <v>4362</v>
      </c>
      <c r="B181" t="s">
        <v>4344</v>
      </c>
      <c r="C181">
        <v>510794</v>
      </c>
      <c r="D181">
        <v>100729032</v>
      </c>
      <c r="E181" t="s">
        <v>4363</v>
      </c>
      <c r="G181" t="s">
        <v>2198</v>
      </c>
      <c r="H181" t="s">
        <v>2749</v>
      </c>
      <c r="I181" t="s">
        <v>4364</v>
      </c>
      <c r="L181" t="s">
        <v>2432</v>
      </c>
      <c r="M181" t="s">
        <v>4365</v>
      </c>
    </row>
    <row r="182" spans="1:13" x14ac:dyDescent="0.3">
      <c r="A182" t="s">
        <v>4366</v>
      </c>
      <c r="B182" t="s">
        <v>4344</v>
      </c>
      <c r="C182">
        <v>510794</v>
      </c>
      <c r="D182">
        <v>101029195</v>
      </c>
      <c r="E182" t="s">
        <v>4367</v>
      </c>
      <c r="G182" t="s">
        <v>2198</v>
      </c>
      <c r="H182" t="s">
        <v>4368</v>
      </c>
      <c r="I182" t="s">
        <v>4369</v>
      </c>
      <c r="J182" t="s">
        <v>2200</v>
      </c>
      <c r="K182" t="s">
        <v>2432</v>
      </c>
      <c r="M182" t="s">
        <v>4370</v>
      </c>
    </row>
    <row r="183" spans="1:13" x14ac:dyDescent="0.3">
      <c r="A183" t="s">
        <v>4371</v>
      </c>
      <c r="B183" t="s">
        <v>4344</v>
      </c>
      <c r="C183">
        <v>510794</v>
      </c>
      <c r="D183">
        <v>100729025</v>
      </c>
      <c r="E183" t="s">
        <v>4372</v>
      </c>
      <c r="G183" t="s">
        <v>2198</v>
      </c>
      <c r="H183" t="s">
        <v>1354</v>
      </c>
      <c r="I183" t="s">
        <v>4373</v>
      </c>
      <c r="L183" t="s">
        <v>4074</v>
      </c>
      <c r="M183" t="s">
        <v>4347</v>
      </c>
    </row>
    <row r="184" spans="1:13" x14ac:dyDescent="0.3">
      <c r="A184" t="s">
        <v>4374</v>
      </c>
      <c r="B184" t="s">
        <v>4344</v>
      </c>
      <c r="C184">
        <v>510794</v>
      </c>
      <c r="D184">
        <v>100729035</v>
      </c>
      <c r="E184" t="s">
        <v>4375</v>
      </c>
      <c r="G184" t="s">
        <v>2198</v>
      </c>
      <c r="H184" t="s">
        <v>3260</v>
      </c>
      <c r="I184" t="s">
        <v>3263</v>
      </c>
      <c r="L184" t="s">
        <v>4376</v>
      </c>
      <c r="M184" t="s">
        <v>4377</v>
      </c>
    </row>
    <row r="185" spans="1:13" x14ac:dyDescent="0.3">
      <c r="A185" t="s">
        <v>4378</v>
      </c>
      <c r="B185" t="s">
        <v>4344</v>
      </c>
      <c r="C185">
        <v>510794</v>
      </c>
      <c r="D185">
        <v>100729031</v>
      </c>
      <c r="E185" t="s">
        <v>4379</v>
      </c>
      <c r="G185" t="s">
        <v>2198</v>
      </c>
      <c r="H185" t="s">
        <v>4380</v>
      </c>
      <c r="I185" t="s">
        <v>4381</v>
      </c>
      <c r="L185" t="s">
        <v>4382</v>
      </c>
      <c r="M185" t="s">
        <v>4383</v>
      </c>
    </row>
    <row r="186" spans="1:13" x14ac:dyDescent="0.3">
      <c r="A186" t="s">
        <v>4384</v>
      </c>
      <c r="B186" t="s">
        <v>4344</v>
      </c>
      <c r="C186">
        <v>510794</v>
      </c>
      <c r="D186">
        <v>100727649</v>
      </c>
      <c r="E186" t="s">
        <v>4385</v>
      </c>
      <c r="G186" t="s">
        <v>2198</v>
      </c>
      <c r="H186" t="s">
        <v>4386</v>
      </c>
      <c r="I186" t="s">
        <v>4387</v>
      </c>
      <c r="L186" t="s">
        <v>2954</v>
      </c>
      <c r="M186" t="s">
        <v>4388</v>
      </c>
    </row>
    <row r="187" spans="1:13" x14ac:dyDescent="0.3">
      <c r="A187" t="s">
        <v>4389</v>
      </c>
      <c r="B187" t="s">
        <v>4344</v>
      </c>
      <c r="C187">
        <v>510794</v>
      </c>
      <c r="D187">
        <v>100729034</v>
      </c>
      <c r="G187" t="s">
        <v>2198</v>
      </c>
      <c r="H187" t="s">
        <v>4390</v>
      </c>
      <c r="I187" t="s">
        <v>4391</v>
      </c>
      <c r="K187" t="s">
        <v>2432</v>
      </c>
      <c r="M187" t="s">
        <v>4347</v>
      </c>
    </row>
    <row r="188" spans="1:13" x14ac:dyDescent="0.3">
      <c r="A188" t="s">
        <v>4392</v>
      </c>
      <c r="B188" t="s">
        <v>4344</v>
      </c>
      <c r="C188">
        <v>510794</v>
      </c>
      <c r="D188">
        <v>100729019</v>
      </c>
      <c r="G188" t="s">
        <v>2198</v>
      </c>
      <c r="H188" t="s">
        <v>2415</v>
      </c>
      <c r="I188" t="s">
        <v>4391</v>
      </c>
      <c r="M188" t="s">
        <v>4347</v>
      </c>
    </row>
    <row r="189" spans="1:13" x14ac:dyDescent="0.3">
      <c r="A189" t="s">
        <v>4393</v>
      </c>
      <c r="B189" t="s">
        <v>4344</v>
      </c>
      <c r="C189">
        <v>510794</v>
      </c>
      <c r="D189">
        <v>100729027</v>
      </c>
      <c r="E189" t="s">
        <v>4394</v>
      </c>
      <c r="G189" t="s">
        <v>2198</v>
      </c>
      <c r="H189" t="s">
        <v>2608</v>
      </c>
      <c r="I189" t="s">
        <v>4391</v>
      </c>
      <c r="L189" t="s">
        <v>4395</v>
      </c>
      <c r="M189" t="s">
        <v>4347</v>
      </c>
    </row>
    <row r="190" spans="1:13" x14ac:dyDescent="0.3">
      <c r="A190" t="s">
        <v>4396</v>
      </c>
      <c r="B190" t="s">
        <v>4344</v>
      </c>
      <c r="C190">
        <v>510794</v>
      </c>
      <c r="D190">
        <v>100729014</v>
      </c>
      <c r="E190" t="s">
        <v>4397</v>
      </c>
      <c r="G190" t="s">
        <v>2198</v>
      </c>
      <c r="H190" t="s">
        <v>3221</v>
      </c>
      <c r="I190" t="s">
        <v>4398</v>
      </c>
      <c r="L190" t="s">
        <v>3993</v>
      </c>
      <c r="M190" t="s">
        <v>4399</v>
      </c>
    </row>
    <row r="191" spans="1:13" x14ac:dyDescent="0.3">
      <c r="A191" t="s">
        <v>4400</v>
      </c>
      <c r="B191" t="s">
        <v>4344</v>
      </c>
      <c r="C191">
        <v>510794</v>
      </c>
      <c r="D191">
        <v>100729015</v>
      </c>
      <c r="E191" t="s">
        <v>4401</v>
      </c>
      <c r="G191" t="s">
        <v>2198</v>
      </c>
      <c r="H191" t="s">
        <v>4402</v>
      </c>
      <c r="I191" t="s">
        <v>4403</v>
      </c>
      <c r="L191" t="s">
        <v>4404</v>
      </c>
      <c r="M191" t="s">
        <v>4405</v>
      </c>
    </row>
    <row r="192" spans="1:13" x14ac:dyDescent="0.3">
      <c r="A192" t="s">
        <v>4406</v>
      </c>
      <c r="B192" t="s">
        <v>4344</v>
      </c>
      <c r="C192">
        <v>510794</v>
      </c>
      <c r="D192">
        <v>100729026</v>
      </c>
      <c r="E192" t="s">
        <v>4407</v>
      </c>
      <c r="G192" t="s">
        <v>2198</v>
      </c>
      <c r="H192" t="s">
        <v>4408</v>
      </c>
      <c r="I192" t="s">
        <v>4409</v>
      </c>
      <c r="L192" t="s">
        <v>4410</v>
      </c>
      <c r="M192" t="s">
        <v>4411</v>
      </c>
    </row>
    <row r="193" spans="1:13" x14ac:dyDescent="0.3">
      <c r="A193" t="s">
        <v>4412</v>
      </c>
      <c r="B193" t="s">
        <v>4344</v>
      </c>
      <c r="C193">
        <v>510794</v>
      </c>
      <c r="D193">
        <v>100729017</v>
      </c>
      <c r="E193" t="s">
        <v>4413</v>
      </c>
      <c r="G193" t="s">
        <v>2198</v>
      </c>
      <c r="H193" t="s">
        <v>4414</v>
      </c>
      <c r="I193" t="s">
        <v>4415</v>
      </c>
      <c r="L193" t="s">
        <v>4416</v>
      </c>
      <c r="M193" t="s">
        <v>4417</v>
      </c>
    </row>
    <row r="194" spans="1:13" x14ac:dyDescent="0.3">
      <c r="A194" t="s">
        <v>4418</v>
      </c>
      <c r="B194" t="s">
        <v>4344</v>
      </c>
      <c r="C194">
        <v>510794</v>
      </c>
      <c r="D194">
        <v>100729041</v>
      </c>
      <c r="E194" t="s">
        <v>4419</v>
      </c>
      <c r="G194" t="s">
        <v>2198</v>
      </c>
      <c r="H194" t="s">
        <v>4420</v>
      </c>
      <c r="I194" t="s">
        <v>4421</v>
      </c>
      <c r="L194" t="s">
        <v>4422</v>
      </c>
      <c r="M194" t="s">
        <v>4365</v>
      </c>
    </row>
    <row r="195" spans="1:13" x14ac:dyDescent="0.3">
      <c r="A195" t="s">
        <v>4423</v>
      </c>
      <c r="B195" t="s">
        <v>4344</v>
      </c>
      <c r="C195">
        <v>510794</v>
      </c>
      <c r="D195">
        <v>100729018</v>
      </c>
      <c r="G195" t="s">
        <v>2198</v>
      </c>
      <c r="H195" t="s">
        <v>2409</v>
      </c>
      <c r="I195" t="s">
        <v>4424</v>
      </c>
      <c r="M195" t="s">
        <v>4347</v>
      </c>
    </row>
    <row r="196" spans="1:13" x14ac:dyDescent="0.3">
      <c r="A196" t="s">
        <v>2172</v>
      </c>
      <c r="B196" t="s">
        <v>2398</v>
      </c>
      <c r="C196">
        <v>514380</v>
      </c>
      <c r="D196">
        <v>120172004</v>
      </c>
      <c r="E196" t="s">
        <v>2399</v>
      </c>
      <c r="G196" t="s">
        <v>2198</v>
      </c>
      <c r="H196" t="s">
        <v>1117</v>
      </c>
      <c r="I196" t="s">
        <v>2400</v>
      </c>
      <c r="J196" t="s">
        <v>2200</v>
      </c>
    </row>
    <row r="197" spans="1:13" x14ac:dyDescent="0.3">
      <c r="A197" t="s">
        <v>2401</v>
      </c>
      <c r="B197" t="s">
        <v>2398</v>
      </c>
      <c r="C197">
        <v>514380</v>
      </c>
      <c r="D197">
        <v>120172003</v>
      </c>
      <c r="E197" t="s">
        <v>2402</v>
      </c>
      <c r="G197" t="s">
        <v>2198</v>
      </c>
      <c r="H197" t="s">
        <v>1161</v>
      </c>
      <c r="I197" t="s">
        <v>2403</v>
      </c>
      <c r="J197" t="s">
        <v>2200</v>
      </c>
    </row>
    <row r="198" spans="1:13" x14ac:dyDescent="0.3">
      <c r="A198" t="s">
        <v>4932</v>
      </c>
      <c r="B198" t="s">
        <v>4933</v>
      </c>
      <c r="C198">
        <v>7486286</v>
      </c>
      <c r="D198">
        <v>101015538</v>
      </c>
      <c r="G198" t="s">
        <v>2198</v>
      </c>
      <c r="H198" t="s">
        <v>4934</v>
      </c>
      <c r="I198" t="s">
        <v>4373</v>
      </c>
      <c r="M198" t="s">
        <v>4935</v>
      </c>
    </row>
    <row r="199" spans="1:13" x14ac:dyDescent="0.3">
      <c r="A199" t="s">
        <v>42</v>
      </c>
      <c r="B199" t="s">
        <v>4933</v>
      </c>
      <c r="C199">
        <v>7486286</v>
      </c>
      <c r="D199">
        <v>101011585</v>
      </c>
      <c r="E199" t="s">
        <v>4936</v>
      </c>
      <c r="G199" t="s">
        <v>2198</v>
      </c>
      <c r="H199" t="s">
        <v>1241</v>
      </c>
      <c r="I199" t="s">
        <v>4937</v>
      </c>
      <c r="M199" t="s">
        <v>4935</v>
      </c>
    </row>
    <row r="200" spans="1:13" x14ac:dyDescent="0.3">
      <c r="A200" t="s">
        <v>43</v>
      </c>
      <c r="B200" t="s">
        <v>4933</v>
      </c>
      <c r="C200">
        <v>7486286</v>
      </c>
      <c r="D200">
        <v>101011584</v>
      </c>
      <c r="E200" t="s">
        <v>4938</v>
      </c>
      <c r="G200" t="s">
        <v>2198</v>
      </c>
      <c r="H200" t="s">
        <v>2469</v>
      </c>
      <c r="I200" t="s">
        <v>4939</v>
      </c>
      <c r="M200" t="s">
        <v>4935</v>
      </c>
    </row>
    <row r="201" spans="1:13" x14ac:dyDescent="0.3">
      <c r="A201" t="s">
        <v>4940</v>
      </c>
      <c r="B201" t="s">
        <v>4933</v>
      </c>
      <c r="C201">
        <v>7486286</v>
      </c>
      <c r="D201">
        <v>101011580</v>
      </c>
      <c r="E201" t="s">
        <v>4941</v>
      </c>
      <c r="F201" t="s">
        <v>4942</v>
      </c>
      <c r="G201" t="s">
        <v>2198</v>
      </c>
      <c r="H201" t="s">
        <v>1355</v>
      </c>
      <c r="I201" t="s">
        <v>1154</v>
      </c>
      <c r="M201" t="s">
        <v>4935</v>
      </c>
    </row>
    <row r="202" spans="1:13" x14ac:dyDescent="0.3">
      <c r="A202" t="s">
        <v>44</v>
      </c>
      <c r="B202" t="s">
        <v>4933</v>
      </c>
      <c r="C202">
        <v>7486286</v>
      </c>
      <c r="D202">
        <v>101011587</v>
      </c>
      <c r="E202" t="s">
        <v>4943</v>
      </c>
      <c r="G202" t="s">
        <v>2386</v>
      </c>
      <c r="H202" t="s">
        <v>4944</v>
      </c>
      <c r="I202" t="s">
        <v>4945</v>
      </c>
      <c r="M202" t="s">
        <v>4935</v>
      </c>
    </row>
    <row r="203" spans="1:13" x14ac:dyDescent="0.3">
      <c r="A203" t="s">
        <v>45</v>
      </c>
      <c r="B203" t="s">
        <v>4933</v>
      </c>
      <c r="C203">
        <v>7486286</v>
      </c>
      <c r="D203">
        <v>101011582</v>
      </c>
      <c r="E203" t="s">
        <v>4946</v>
      </c>
      <c r="G203" t="s">
        <v>2198</v>
      </c>
      <c r="H203" t="s">
        <v>4710</v>
      </c>
      <c r="I203" t="s">
        <v>4947</v>
      </c>
      <c r="M203" t="s">
        <v>4935</v>
      </c>
    </row>
    <row r="204" spans="1:13" x14ac:dyDescent="0.3">
      <c r="A204" t="s">
        <v>46</v>
      </c>
      <c r="B204" t="s">
        <v>4933</v>
      </c>
      <c r="C204">
        <v>7486286</v>
      </c>
      <c r="D204">
        <v>101011586</v>
      </c>
      <c r="E204" t="s">
        <v>4948</v>
      </c>
      <c r="G204" t="s">
        <v>2198</v>
      </c>
      <c r="H204" t="s">
        <v>4846</v>
      </c>
      <c r="I204" t="s">
        <v>1251</v>
      </c>
      <c r="M204" t="s">
        <v>4935</v>
      </c>
    </row>
    <row r="205" spans="1:13" x14ac:dyDescent="0.3">
      <c r="A205" t="s">
        <v>47</v>
      </c>
      <c r="B205" t="s">
        <v>4933</v>
      </c>
      <c r="C205">
        <v>7486286</v>
      </c>
      <c r="D205">
        <v>101011588</v>
      </c>
      <c r="E205" t="s">
        <v>4949</v>
      </c>
      <c r="G205" t="s">
        <v>2198</v>
      </c>
      <c r="H205" t="s">
        <v>4950</v>
      </c>
      <c r="I205" t="s">
        <v>4951</v>
      </c>
      <c r="M205" t="s">
        <v>4935</v>
      </c>
    </row>
    <row r="206" spans="1:13" x14ac:dyDescent="0.3">
      <c r="A206" t="s">
        <v>31</v>
      </c>
      <c r="B206" t="s">
        <v>4933</v>
      </c>
      <c r="C206">
        <v>7486286</v>
      </c>
      <c r="D206">
        <v>101011581</v>
      </c>
      <c r="E206" t="s">
        <v>4952</v>
      </c>
      <c r="F206" t="s">
        <v>4953</v>
      </c>
      <c r="G206" t="s">
        <v>2198</v>
      </c>
      <c r="H206" t="s">
        <v>1162</v>
      </c>
      <c r="I206" t="s">
        <v>4954</v>
      </c>
      <c r="M206" t="s">
        <v>4935</v>
      </c>
    </row>
    <row r="207" spans="1:13" x14ac:dyDescent="0.3">
      <c r="A207" t="s">
        <v>2166</v>
      </c>
      <c r="B207" t="s">
        <v>2165</v>
      </c>
      <c r="C207">
        <v>120171924</v>
      </c>
      <c r="D207">
        <v>120171999</v>
      </c>
      <c r="E207" t="s">
        <v>2274</v>
      </c>
      <c r="G207" t="s">
        <v>2198</v>
      </c>
      <c r="H207" t="s">
        <v>1115</v>
      </c>
      <c r="I207" t="s">
        <v>2275</v>
      </c>
      <c r="J207" t="s">
        <v>2200</v>
      </c>
    </row>
    <row r="208" spans="1:13" x14ac:dyDescent="0.3">
      <c r="A208" t="s">
        <v>2164</v>
      </c>
      <c r="B208" t="s">
        <v>2165</v>
      </c>
      <c r="C208">
        <v>120171924</v>
      </c>
      <c r="D208">
        <v>120171998</v>
      </c>
      <c r="E208" t="s">
        <v>2276</v>
      </c>
      <c r="G208" t="s">
        <v>2198</v>
      </c>
      <c r="H208" t="s">
        <v>2277</v>
      </c>
      <c r="I208" t="s">
        <v>2278</v>
      </c>
      <c r="J208" t="s">
        <v>2200</v>
      </c>
    </row>
    <row r="209" spans="1:13" x14ac:dyDescent="0.3">
      <c r="A209" t="s">
        <v>4955</v>
      </c>
      <c r="B209" t="s">
        <v>4956</v>
      </c>
      <c r="C209">
        <v>7460691</v>
      </c>
      <c r="D209">
        <v>101111000</v>
      </c>
      <c r="E209" t="s">
        <v>4957</v>
      </c>
      <c r="G209" t="s">
        <v>2198</v>
      </c>
      <c r="H209" t="s">
        <v>1089</v>
      </c>
      <c r="I209" t="s">
        <v>4958</v>
      </c>
      <c r="M209" t="s">
        <v>4959</v>
      </c>
    </row>
    <row r="210" spans="1:13" x14ac:dyDescent="0.3">
      <c r="A210" t="s">
        <v>4960</v>
      </c>
      <c r="B210" t="s">
        <v>4956</v>
      </c>
      <c r="C210">
        <v>7460691</v>
      </c>
      <c r="D210">
        <v>101110998</v>
      </c>
      <c r="E210" t="s">
        <v>4961</v>
      </c>
      <c r="G210" t="s">
        <v>2198</v>
      </c>
      <c r="H210" t="s">
        <v>1173</v>
      </c>
      <c r="I210" t="s">
        <v>4962</v>
      </c>
      <c r="J210" t="s">
        <v>2200</v>
      </c>
      <c r="M210" t="s">
        <v>4959</v>
      </c>
    </row>
    <row r="211" spans="1:13" x14ac:dyDescent="0.3">
      <c r="A211" t="s">
        <v>4963</v>
      </c>
      <c r="B211" t="s">
        <v>4956</v>
      </c>
      <c r="C211">
        <v>7460691</v>
      </c>
      <c r="D211">
        <v>101110999</v>
      </c>
      <c r="E211" t="s">
        <v>4964</v>
      </c>
      <c r="G211" t="s">
        <v>2198</v>
      </c>
      <c r="H211" t="s">
        <v>1270</v>
      </c>
      <c r="I211" t="s">
        <v>2283</v>
      </c>
      <c r="J211" t="s">
        <v>2200</v>
      </c>
      <c r="M211" t="s">
        <v>4959</v>
      </c>
    </row>
    <row r="212" spans="1:13" x14ac:dyDescent="0.3">
      <c r="A212" t="s">
        <v>4965</v>
      </c>
      <c r="B212" t="s">
        <v>4956</v>
      </c>
      <c r="C212">
        <v>7460691</v>
      </c>
      <c r="D212">
        <v>101111001</v>
      </c>
      <c r="E212" t="s">
        <v>4966</v>
      </c>
      <c r="G212" t="s">
        <v>2198</v>
      </c>
      <c r="H212" t="s">
        <v>1157</v>
      </c>
      <c r="I212" t="s">
        <v>4967</v>
      </c>
      <c r="J212" t="s">
        <v>2200</v>
      </c>
      <c r="M212" t="s">
        <v>4959</v>
      </c>
    </row>
    <row r="213" spans="1:13" x14ac:dyDescent="0.3">
      <c r="A213" t="s">
        <v>4968</v>
      </c>
      <c r="B213" t="s">
        <v>4956</v>
      </c>
      <c r="C213">
        <v>7460691</v>
      </c>
      <c r="D213">
        <v>100992128</v>
      </c>
      <c r="G213" t="s">
        <v>2198</v>
      </c>
      <c r="H213" t="s">
        <v>1146</v>
      </c>
      <c r="I213" t="s">
        <v>4969</v>
      </c>
      <c r="M213" t="s">
        <v>4959</v>
      </c>
    </row>
    <row r="214" spans="1:13" x14ac:dyDescent="0.3">
      <c r="A214" t="s">
        <v>4970</v>
      </c>
      <c r="B214" t="s">
        <v>4956</v>
      </c>
      <c r="C214">
        <v>7460691</v>
      </c>
      <c r="D214">
        <v>101111002</v>
      </c>
      <c r="E214" t="s">
        <v>4971</v>
      </c>
      <c r="G214" t="s">
        <v>2198</v>
      </c>
      <c r="H214" t="s">
        <v>1169</v>
      </c>
      <c r="I214" t="s">
        <v>1104</v>
      </c>
      <c r="K214" t="s">
        <v>4395</v>
      </c>
      <c r="M214" t="s">
        <v>4959</v>
      </c>
    </row>
    <row r="215" spans="1:13" x14ac:dyDescent="0.3">
      <c r="A215" t="s">
        <v>4972</v>
      </c>
      <c r="B215" t="s">
        <v>4956</v>
      </c>
      <c r="C215">
        <v>7460691</v>
      </c>
      <c r="D215">
        <v>101140274</v>
      </c>
      <c r="E215" t="s">
        <v>4973</v>
      </c>
      <c r="G215" t="s">
        <v>2198</v>
      </c>
      <c r="H215" t="s">
        <v>3321</v>
      </c>
      <c r="I215" t="s">
        <v>4974</v>
      </c>
      <c r="M215" t="s">
        <v>4959</v>
      </c>
    </row>
    <row r="216" spans="1:13" x14ac:dyDescent="0.3">
      <c r="A216" t="s">
        <v>4975</v>
      </c>
      <c r="B216" t="s">
        <v>4956</v>
      </c>
      <c r="C216">
        <v>7460691</v>
      </c>
      <c r="D216">
        <v>101111003</v>
      </c>
      <c r="E216" t="s">
        <v>4976</v>
      </c>
      <c r="G216" t="s">
        <v>2198</v>
      </c>
      <c r="H216" t="s">
        <v>3313</v>
      </c>
      <c r="I216" t="s">
        <v>4977</v>
      </c>
      <c r="J216" t="s">
        <v>2898</v>
      </c>
      <c r="M216" t="s">
        <v>4959</v>
      </c>
    </row>
    <row r="217" spans="1:13" x14ac:dyDescent="0.3">
      <c r="A217" t="s">
        <v>185</v>
      </c>
      <c r="B217" t="s">
        <v>4978</v>
      </c>
      <c r="C217">
        <v>7499092</v>
      </c>
      <c r="D217">
        <v>101060734</v>
      </c>
      <c r="E217" t="s">
        <v>187</v>
      </c>
      <c r="F217" t="s">
        <v>4979</v>
      </c>
      <c r="G217" t="s">
        <v>2198</v>
      </c>
      <c r="H217" t="s">
        <v>4980</v>
      </c>
      <c r="I217" t="s">
        <v>4981</v>
      </c>
      <c r="J217" t="s">
        <v>2200</v>
      </c>
      <c r="M217" t="s">
        <v>4982</v>
      </c>
    </row>
    <row r="218" spans="1:13" x14ac:dyDescent="0.3">
      <c r="A218" t="s">
        <v>189</v>
      </c>
      <c r="B218" t="s">
        <v>4978</v>
      </c>
      <c r="C218">
        <v>7499092</v>
      </c>
      <c r="D218">
        <v>101060735</v>
      </c>
      <c r="E218" t="s">
        <v>190</v>
      </c>
      <c r="F218" t="s">
        <v>4983</v>
      </c>
      <c r="G218" t="s">
        <v>2198</v>
      </c>
      <c r="H218" t="s">
        <v>2425</v>
      </c>
      <c r="I218" t="s">
        <v>2528</v>
      </c>
      <c r="M218" t="s">
        <v>4982</v>
      </c>
    </row>
    <row r="219" spans="1:13" x14ac:dyDescent="0.3">
      <c r="A219" t="s">
        <v>4433</v>
      </c>
      <c r="B219" t="s">
        <v>4434</v>
      </c>
      <c r="C219">
        <v>120206934</v>
      </c>
      <c r="D219">
        <v>120206935</v>
      </c>
      <c r="E219" t="s">
        <v>4435</v>
      </c>
      <c r="F219" t="s">
        <v>4436</v>
      </c>
      <c r="G219" t="s">
        <v>2198</v>
      </c>
      <c r="H219" t="s">
        <v>2639</v>
      </c>
      <c r="I219" t="s">
        <v>4312</v>
      </c>
      <c r="L219" t="s">
        <v>4270</v>
      </c>
      <c r="M219" t="s">
        <v>4437</v>
      </c>
    </row>
    <row r="220" spans="1:13" x14ac:dyDescent="0.3">
      <c r="A220" t="s">
        <v>4438</v>
      </c>
      <c r="B220" t="s">
        <v>4434</v>
      </c>
      <c r="C220">
        <v>120206934</v>
      </c>
      <c r="D220">
        <v>120206937</v>
      </c>
      <c r="E220" t="s">
        <v>4439</v>
      </c>
      <c r="G220" t="s">
        <v>2386</v>
      </c>
      <c r="H220" t="s">
        <v>4440</v>
      </c>
      <c r="I220" t="s">
        <v>4312</v>
      </c>
      <c r="L220" t="s">
        <v>4197</v>
      </c>
      <c r="M220" t="s">
        <v>4441</v>
      </c>
    </row>
    <row r="221" spans="1:13" x14ac:dyDescent="0.3">
      <c r="A221" t="s">
        <v>4442</v>
      </c>
      <c r="B221" t="s">
        <v>4434</v>
      </c>
      <c r="C221">
        <v>120206934</v>
      </c>
      <c r="D221">
        <v>120206936</v>
      </c>
      <c r="E221" t="s">
        <v>4443</v>
      </c>
      <c r="G221" t="s">
        <v>2198</v>
      </c>
      <c r="H221" t="s">
        <v>2653</v>
      </c>
      <c r="I221" t="s">
        <v>4312</v>
      </c>
      <c r="L221" t="s">
        <v>2343</v>
      </c>
      <c r="M221" t="s">
        <v>4441</v>
      </c>
    </row>
    <row r="222" spans="1:13" x14ac:dyDescent="0.3">
      <c r="A222" t="s">
        <v>2167</v>
      </c>
      <c r="B222" t="s">
        <v>2168</v>
      </c>
      <c r="C222">
        <v>120171925</v>
      </c>
      <c r="D222">
        <v>120172000</v>
      </c>
      <c r="E222" t="s">
        <v>2279</v>
      </c>
      <c r="G222" t="s">
        <v>2198</v>
      </c>
      <c r="H222" t="s">
        <v>2280</v>
      </c>
      <c r="I222" t="s">
        <v>2281</v>
      </c>
      <c r="J222" t="s">
        <v>2200</v>
      </c>
    </row>
    <row r="223" spans="1:13" x14ac:dyDescent="0.3">
      <c r="A223" t="s">
        <v>2169</v>
      </c>
      <c r="B223" t="s">
        <v>2168</v>
      </c>
      <c r="C223">
        <v>120171925</v>
      </c>
      <c r="D223">
        <v>120172001</v>
      </c>
      <c r="E223" t="s">
        <v>2282</v>
      </c>
      <c r="G223" t="s">
        <v>2198</v>
      </c>
      <c r="H223" t="s">
        <v>2283</v>
      </c>
      <c r="I223" t="s">
        <v>2284</v>
      </c>
      <c r="J223" t="s">
        <v>2200</v>
      </c>
    </row>
    <row r="224" spans="1:13" x14ac:dyDescent="0.3">
      <c r="A224" t="s">
        <v>2121</v>
      </c>
      <c r="B224" t="s">
        <v>2404</v>
      </c>
      <c r="C224">
        <v>80135768</v>
      </c>
      <c r="D224">
        <v>120171958</v>
      </c>
      <c r="E224" t="s">
        <v>2405</v>
      </c>
      <c r="G224" t="s">
        <v>2198</v>
      </c>
      <c r="H224" t="s">
        <v>2406</v>
      </c>
      <c r="I224" t="s">
        <v>2407</v>
      </c>
      <c r="J224" t="s">
        <v>2200</v>
      </c>
    </row>
    <row r="225" spans="1:13" x14ac:dyDescent="0.3">
      <c r="A225" t="s">
        <v>2118</v>
      </c>
      <c r="B225" t="s">
        <v>2404</v>
      </c>
      <c r="C225">
        <v>80135768</v>
      </c>
      <c r="D225">
        <v>120171955</v>
      </c>
      <c r="E225" t="s">
        <v>2408</v>
      </c>
      <c r="G225" t="s">
        <v>2198</v>
      </c>
      <c r="H225" t="s">
        <v>2409</v>
      </c>
      <c r="I225" t="s">
        <v>2410</v>
      </c>
      <c r="J225" t="s">
        <v>2200</v>
      </c>
    </row>
    <row r="226" spans="1:13" x14ac:dyDescent="0.3">
      <c r="A226" t="s">
        <v>2120</v>
      </c>
      <c r="B226" t="s">
        <v>2404</v>
      </c>
      <c r="C226">
        <v>80135768</v>
      </c>
      <c r="D226">
        <v>120171957</v>
      </c>
      <c r="E226" t="s">
        <v>2411</v>
      </c>
      <c r="G226" t="s">
        <v>2198</v>
      </c>
      <c r="H226" t="s">
        <v>2412</v>
      </c>
      <c r="I226" t="s">
        <v>2413</v>
      </c>
      <c r="J226" t="s">
        <v>2200</v>
      </c>
    </row>
    <row r="227" spans="1:13" x14ac:dyDescent="0.3">
      <c r="A227" t="s">
        <v>2119</v>
      </c>
      <c r="B227" t="s">
        <v>2404</v>
      </c>
      <c r="C227">
        <v>80135768</v>
      </c>
      <c r="D227">
        <v>120171956</v>
      </c>
      <c r="E227" t="s">
        <v>2414</v>
      </c>
      <c r="G227" t="s">
        <v>2198</v>
      </c>
      <c r="H227" t="s">
        <v>2415</v>
      </c>
      <c r="I227" t="s">
        <v>18</v>
      </c>
      <c r="J227" t="s">
        <v>2200</v>
      </c>
    </row>
    <row r="228" spans="1:13" x14ac:dyDescent="0.3">
      <c r="A228" t="s">
        <v>123</v>
      </c>
      <c r="B228" t="s">
        <v>4984</v>
      </c>
      <c r="C228">
        <v>526424</v>
      </c>
      <c r="D228">
        <v>100738384</v>
      </c>
      <c r="E228" t="s">
        <v>4985</v>
      </c>
      <c r="G228" t="s">
        <v>2198</v>
      </c>
      <c r="H228" t="s">
        <v>4986</v>
      </c>
      <c r="I228" t="s">
        <v>4987</v>
      </c>
      <c r="J228" t="s">
        <v>2200</v>
      </c>
      <c r="K228" t="s">
        <v>2667</v>
      </c>
    </row>
    <row r="229" spans="1:13" x14ac:dyDescent="0.3">
      <c r="A229" t="s">
        <v>4988</v>
      </c>
      <c r="B229" t="s">
        <v>4984</v>
      </c>
      <c r="C229">
        <v>526424</v>
      </c>
      <c r="D229">
        <v>100738382</v>
      </c>
      <c r="E229" t="s">
        <v>4989</v>
      </c>
      <c r="F229" t="s">
        <v>4990</v>
      </c>
      <c r="G229" t="s">
        <v>2198</v>
      </c>
      <c r="H229" t="s">
        <v>1355</v>
      </c>
      <c r="I229" t="s">
        <v>4991</v>
      </c>
      <c r="J229" t="s">
        <v>2200</v>
      </c>
      <c r="K229" t="s">
        <v>4524</v>
      </c>
      <c r="M229" t="s">
        <v>4992</v>
      </c>
    </row>
    <row r="230" spans="1:13" x14ac:dyDescent="0.3">
      <c r="A230" t="s">
        <v>4993</v>
      </c>
      <c r="B230" t="s">
        <v>4984</v>
      </c>
      <c r="C230">
        <v>526424</v>
      </c>
      <c r="D230">
        <v>100738383</v>
      </c>
      <c r="E230" t="s">
        <v>4994</v>
      </c>
      <c r="G230" t="s">
        <v>2198</v>
      </c>
      <c r="H230" t="s">
        <v>1161</v>
      </c>
      <c r="I230" t="s">
        <v>4995</v>
      </c>
      <c r="J230" t="s">
        <v>2200</v>
      </c>
      <c r="K230" t="s">
        <v>4524</v>
      </c>
    </row>
    <row r="231" spans="1:13" x14ac:dyDescent="0.3">
      <c r="A231" t="s">
        <v>4996</v>
      </c>
      <c r="B231" t="s">
        <v>4984</v>
      </c>
      <c r="C231">
        <v>526424</v>
      </c>
      <c r="D231">
        <v>100738381</v>
      </c>
      <c r="E231" t="s">
        <v>4997</v>
      </c>
      <c r="G231" t="s">
        <v>2198</v>
      </c>
      <c r="H231" t="s">
        <v>1360</v>
      </c>
      <c r="I231" t="s">
        <v>1260</v>
      </c>
      <c r="L231" t="s">
        <v>2750</v>
      </c>
      <c r="M231" t="s">
        <v>4998</v>
      </c>
    </row>
    <row r="232" spans="1:13" x14ac:dyDescent="0.3">
      <c r="A232" t="s">
        <v>1437</v>
      </c>
      <c r="B232" t="s">
        <v>4444</v>
      </c>
      <c r="C232">
        <v>7438426</v>
      </c>
      <c r="D232">
        <v>101035548</v>
      </c>
      <c r="E232" t="s">
        <v>281</v>
      </c>
      <c r="G232" t="s">
        <v>2198</v>
      </c>
      <c r="H232" t="s">
        <v>4445</v>
      </c>
      <c r="I232" t="s">
        <v>4446</v>
      </c>
    </row>
    <row r="233" spans="1:13" x14ac:dyDescent="0.3">
      <c r="A233" t="s">
        <v>283</v>
      </c>
      <c r="B233" t="s">
        <v>4444</v>
      </c>
      <c r="C233">
        <v>7438426</v>
      </c>
      <c r="D233">
        <v>100949918</v>
      </c>
      <c r="E233" t="s">
        <v>284</v>
      </c>
      <c r="G233" t="s">
        <v>2198</v>
      </c>
      <c r="H233" t="s">
        <v>1226</v>
      </c>
      <c r="I233" t="s">
        <v>2299</v>
      </c>
      <c r="M233" t="s">
        <v>4447</v>
      </c>
    </row>
    <row r="234" spans="1:13" x14ac:dyDescent="0.3">
      <c r="A234" t="s">
        <v>285</v>
      </c>
      <c r="B234" t="s">
        <v>4444</v>
      </c>
      <c r="C234">
        <v>7438426</v>
      </c>
      <c r="D234">
        <v>100949921</v>
      </c>
      <c r="E234" t="s">
        <v>286</v>
      </c>
      <c r="G234" t="s">
        <v>2198</v>
      </c>
      <c r="H234" t="s">
        <v>4448</v>
      </c>
      <c r="I234" t="s">
        <v>4449</v>
      </c>
      <c r="J234" t="s">
        <v>2200</v>
      </c>
      <c r="K234" t="s">
        <v>4450</v>
      </c>
    </row>
    <row r="235" spans="1:13" x14ac:dyDescent="0.3">
      <c r="A235" t="s">
        <v>4451</v>
      </c>
      <c r="B235" t="s">
        <v>4444</v>
      </c>
      <c r="C235">
        <v>7438426</v>
      </c>
      <c r="D235">
        <v>101140228</v>
      </c>
      <c r="E235" t="s">
        <v>4452</v>
      </c>
      <c r="G235" t="s">
        <v>2198</v>
      </c>
      <c r="H235" t="s">
        <v>2409</v>
      </c>
      <c r="I235" t="s">
        <v>2857</v>
      </c>
      <c r="K235" t="s">
        <v>2328</v>
      </c>
    </row>
    <row r="236" spans="1:13" x14ac:dyDescent="0.3">
      <c r="A236" t="s">
        <v>287</v>
      </c>
      <c r="B236" t="s">
        <v>4444</v>
      </c>
      <c r="C236">
        <v>7438426</v>
      </c>
      <c r="D236">
        <v>101049723</v>
      </c>
      <c r="E236" t="s">
        <v>288</v>
      </c>
      <c r="G236" t="s">
        <v>2198</v>
      </c>
      <c r="H236" t="s">
        <v>4448</v>
      </c>
      <c r="I236" t="s">
        <v>2301</v>
      </c>
      <c r="J236" t="s">
        <v>2200</v>
      </c>
      <c r="K236" t="s">
        <v>4453</v>
      </c>
      <c r="M236" t="s">
        <v>4447</v>
      </c>
    </row>
    <row r="237" spans="1:13" x14ac:dyDescent="0.3">
      <c r="A237" t="s">
        <v>289</v>
      </c>
      <c r="B237" t="s">
        <v>4444</v>
      </c>
      <c r="C237">
        <v>7438426</v>
      </c>
      <c r="D237">
        <v>100949916</v>
      </c>
      <c r="E237" t="s">
        <v>290</v>
      </c>
      <c r="G237" t="s">
        <v>2198</v>
      </c>
      <c r="H237" t="s">
        <v>1370</v>
      </c>
      <c r="I237" t="s">
        <v>4240</v>
      </c>
    </row>
    <row r="238" spans="1:13" x14ac:dyDescent="0.3">
      <c r="A238" t="s">
        <v>4454</v>
      </c>
      <c r="B238" t="s">
        <v>4444</v>
      </c>
      <c r="C238">
        <v>7438426</v>
      </c>
      <c r="D238">
        <v>101092867</v>
      </c>
      <c r="E238" t="s">
        <v>4455</v>
      </c>
      <c r="G238" t="s">
        <v>2198</v>
      </c>
      <c r="H238" t="s">
        <v>2515</v>
      </c>
      <c r="I238" t="s">
        <v>1190</v>
      </c>
      <c r="K238" t="s">
        <v>4456</v>
      </c>
    </row>
    <row r="239" spans="1:13" x14ac:dyDescent="0.3">
      <c r="A239" t="s">
        <v>291</v>
      </c>
      <c r="B239" t="s">
        <v>4444</v>
      </c>
      <c r="C239">
        <v>7438426</v>
      </c>
      <c r="D239">
        <v>101035092</v>
      </c>
      <c r="E239" t="s">
        <v>292</v>
      </c>
      <c r="G239" t="s">
        <v>2198</v>
      </c>
      <c r="H239" t="s">
        <v>4457</v>
      </c>
      <c r="I239" t="s">
        <v>4458</v>
      </c>
    </row>
    <row r="240" spans="1:13" x14ac:dyDescent="0.3">
      <c r="A240" t="s">
        <v>293</v>
      </c>
      <c r="B240" t="s">
        <v>4444</v>
      </c>
      <c r="C240">
        <v>7438426</v>
      </c>
      <c r="D240">
        <v>101034863</v>
      </c>
      <c r="E240" t="s">
        <v>294</v>
      </c>
      <c r="G240" t="s">
        <v>2198</v>
      </c>
      <c r="H240" t="s">
        <v>4256</v>
      </c>
      <c r="I240" t="s">
        <v>4459</v>
      </c>
      <c r="K240" t="s">
        <v>4460</v>
      </c>
    </row>
    <row r="241" spans="1:13" x14ac:dyDescent="0.3">
      <c r="A241" t="s">
        <v>295</v>
      </c>
      <c r="B241" t="s">
        <v>4444</v>
      </c>
      <c r="C241">
        <v>7438426</v>
      </c>
      <c r="D241">
        <v>101034865</v>
      </c>
      <c r="E241" t="s">
        <v>296</v>
      </c>
      <c r="G241" t="s">
        <v>2198</v>
      </c>
      <c r="H241" t="s">
        <v>1150</v>
      </c>
      <c r="I241" t="s">
        <v>2225</v>
      </c>
    </row>
    <row r="242" spans="1:13" x14ac:dyDescent="0.3">
      <c r="A242" t="s">
        <v>4461</v>
      </c>
      <c r="B242" t="s">
        <v>4444</v>
      </c>
      <c r="C242">
        <v>7438426</v>
      </c>
      <c r="D242">
        <v>120081991</v>
      </c>
      <c r="G242" t="s">
        <v>2198</v>
      </c>
      <c r="H242" t="s">
        <v>1228</v>
      </c>
      <c r="I242" t="s">
        <v>4462</v>
      </c>
      <c r="J242" t="s">
        <v>2200</v>
      </c>
      <c r="L242" t="s">
        <v>4463</v>
      </c>
    </row>
    <row r="243" spans="1:13" x14ac:dyDescent="0.3">
      <c r="A243" t="s">
        <v>297</v>
      </c>
      <c r="B243" t="s">
        <v>4444</v>
      </c>
      <c r="C243">
        <v>7438426</v>
      </c>
      <c r="D243">
        <v>101035094</v>
      </c>
      <c r="E243" t="s">
        <v>298</v>
      </c>
      <c r="G243" t="s">
        <v>2198</v>
      </c>
      <c r="H243" t="s">
        <v>4464</v>
      </c>
      <c r="I243" t="s">
        <v>4465</v>
      </c>
    </row>
    <row r="244" spans="1:13" x14ac:dyDescent="0.3">
      <c r="A244" t="s">
        <v>4466</v>
      </c>
      <c r="B244" t="s">
        <v>4444</v>
      </c>
      <c r="C244">
        <v>7438426</v>
      </c>
      <c r="D244">
        <v>120050333</v>
      </c>
      <c r="E244" t="s">
        <v>4467</v>
      </c>
      <c r="F244" t="s">
        <v>4468</v>
      </c>
      <c r="G244" t="s">
        <v>2198</v>
      </c>
      <c r="H244" t="s">
        <v>4469</v>
      </c>
      <c r="I244" t="s">
        <v>4470</v>
      </c>
      <c r="J244" t="s">
        <v>2200</v>
      </c>
      <c r="L244" t="s">
        <v>4471</v>
      </c>
    </row>
    <row r="245" spans="1:13" x14ac:dyDescent="0.3">
      <c r="A245" t="s">
        <v>4472</v>
      </c>
      <c r="B245" t="s">
        <v>4444</v>
      </c>
      <c r="C245">
        <v>7438426</v>
      </c>
      <c r="D245">
        <v>120081966</v>
      </c>
      <c r="G245" t="s">
        <v>2198</v>
      </c>
      <c r="H245" t="s">
        <v>4473</v>
      </c>
      <c r="I245" t="s">
        <v>4474</v>
      </c>
      <c r="J245" t="s">
        <v>2200</v>
      </c>
      <c r="L245" t="s">
        <v>4463</v>
      </c>
    </row>
    <row r="246" spans="1:13" x14ac:dyDescent="0.3">
      <c r="A246" t="s">
        <v>299</v>
      </c>
      <c r="B246" t="s">
        <v>4444</v>
      </c>
      <c r="C246">
        <v>7438426</v>
      </c>
      <c r="D246">
        <v>101034932</v>
      </c>
      <c r="E246" t="s">
        <v>300</v>
      </c>
      <c r="G246" t="s">
        <v>2198</v>
      </c>
      <c r="H246" t="s">
        <v>3321</v>
      </c>
      <c r="I246" t="s">
        <v>4475</v>
      </c>
    </row>
    <row r="247" spans="1:13" x14ac:dyDescent="0.3">
      <c r="A247" t="s">
        <v>301</v>
      </c>
      <c r="B247" t="s">
        <v>4444</v>
      </c>
      <c r="C247">
        <v>7438426</v>
      </c>
      <c r="D247">
        <v>101015580</v>
      </c>
      <c r="G247" t="s">
        <v>2198</v>
      </c>
      <c r="H247" t="s">
        <v>1226</v>
      </c>
      <c r="I247" t="s">
        <v>2328</v>
      </c>
      <c r="K247" t="s">
        <v>2328</v>
      </c>
    </row>
    <row r="248" spans="1:13" x14ac:dyDescent="0.3">
      <c r="A248" t="s">
        <v>4476</v>
      </c>
      <c r="B248" t="s">
        <v>4444</v>
      </c>
      <c r="C248">
        <v>7438426</v>
      </c>
      <c r="D248">
        <v>101086797</v>
      </c>
      <c r="E248" t="s">
        <v>4477</v>
      </c>
      <c r="G248" t="s">
        <v>2198</v>
      </c>
      <c r="H248" t="s">
        <v>1141</v>
      </c>
      <c r="I248" t="s">
        <v>4478</v>
      </c>
      <c r="J248" t="s">
        <v>2200</v>
      </c>
      <c r="K248" t="s">
        <v>4479</v>
      </c>
    </row>
    <row r="249" spans="1:13" x14ac:dyDescent="0.3">
      <c r="A249" t="s">
        <v>302</v>
      </c>
      <c r="B249" t="s">
        <v>4444</v>
      </c>
      <c r="C249">
        <v>7438426</v>
      </c>
      <c r="D249">
        <v>101034922</v>
      </c>
      <c r="E249" t="s">
        <v>303</v>
      </c>
      <c r="G249" t="s">
        <v>2198</v>
      </c>
      <c r="H249" t="s">
        <v>2263</v>
      </c>
      <c r="I249" t="s">
        <v>2912</v>
      </c>
    </row>
    <row r="250" spans="1:13" x14ac:dyDescent="0.3">
      <c r="A250" t="s">
        <v>4480</v>
      </c>
      <c r="B250" t="s">
        <v>4444</v>
      </c>
      <c r="C250">
        <v>7438426</v>
      </c>
      <c r="D250">
        <v>120051353</v>
      </c>
      <c r="E250" t="s">
        <v>4481</v>
      </c>
      <c r="F250" t="s">
        <v>4447</v>
      </c>
      <c r="G250" t="s">
        <v>2198</v>
      </c>
      <c r="H250" t="s">
        <v>4482</v>
      </c>
      <c r="I250" t="s">
        <v>4483</v>
      </c>
      <c r="J250" t="s">
        <v>2898</v>
      </c>
      <c r="L250" t="s">
        <v>4484</v>
      </c>
    </row>
    <row r="251" spans="1:13" x14ac:dyDescent="0.3">
      <c r="A251" t="s">
        <v>4485</v>
      </c>
      <c r="B251" t="s">
        <v>4444</v>
      </c>
      <c r="C251">
        <v>7438426</v>
      </c>
      <c r="D251">
        <v>101092877</v>
      </c>
      <c r="E251" t="s">
        <v>4486</v>
      </c>
      <c r="G251" t="s">
        <v>2198</v>
      </c>
      <c r="H251" t="s">
        <v>4487</v>
      </c>
      <c r="I251" t="s">
        <v>4488</v>
      </c>
      <c r="K251" t="s">
        <v>4456</v>
      </c>
    </row>
    <row r="252" spans="1:13" x14ac:dyDescent="0.3">
      <c r="A252" t="s">
        <v>4489</v>
      </c>
      <c r="B252" t="s">
        <v>4444</v>
      </c>
      <c r="C252">
        <v>7438426</v>
      </c>
      <c r="D252">
        <v>101140229</v>
      </c>
      <c r="E252" t="s">
        <v>4490</v>
      </c>
      <c r="G252" t="s">
        <v>2198</v>
      </c>
      <c r="H252" t="s">
        <v>1270</v>
      </c>
      <c r="I252" t="s">
        <v>4491</v>
      </c>
      <c r="J252" t="s">
        <v>2200</v>
      </c>
    </row>
    <row r="253" spans="1:13" x14ac:dyDescent="0.3">
      <c r="A253" t="s">
        <v>4492</v>
      </c>
      <c r="B253" t="s">
        <v>4444</v>
      </c>
      <c r="C253">
        <v>7438426</v>
      </c>
      <c r="D253">
        <v>120081989</v>
      </c>
      <c r="G253" t="s">
        <v>2198</v>
      </c>
      <c r="H253" t="s">
        <v>4493</v>
      </c>
      <c r="I253" t="s">
        <v>4494</v>
      </c>
      <c r="J253" t="s">
        <v>2898</v>
      </c>
      <c r="L253" t="s">
        <v>4495</v>
      </c>
    </row>
    <row r="254" spans="1:13" x14ac:dyDescent="0.3">
      <c r="A254" t="s">
        <v>4496</v>
      </c>
      <c r="B254" t="s">
        <v>4444</v>
      </c>
      <c r="C254">
        <v>7438426</v>
      </c>
      <c r="D254">
        <v>120081968</v>
      </c>
      <c r="G254" t="s">
        <v>2198</v>
      </c>
      <c r="H254" t="s">
        <v>4497</v>
      </c>
      <c r="I254" t="s">
        <v>4498</v>
      </c>
      <c r="J254" t="s">
        <v>2898</v>
      </c>
      <c r="L254" t="s">
        <v>4499</v>
      </c>
    </row>
    <row r="255" spans="1:13" x14ac:dyDescent="0.3">
      <c r="A255" t="s">
        <v>304</v>
      </c>
      <c r="B255" t="s">
        <v>4444</v>
      </c>
      <c r="C255">
        <v>7438426</v>
      </c>
      <c r="D255">
        <v>100949917</v>
      </c>
      <c r="E255" t="s">
        <v>305</v>
      </c>
      <c r="G255" t="s">
        <v>2198</v>
      </c>
      <c r="H255" t="s">
        <v>1115</v>
      </c>
      <c r="I255" t="s">
        <v>2407</v>
      </c>
      <c r="J255" t="s">
        <v>2200</v>
      </c>
      <c r="K255" t="s">
        <v>4500</v>
      </c>
      <c r="M255" t="s">
        <v>4447</v>
      </c>
    </row>
    <row r="256" spans="1:13" x14ac:dyDescent="0.3">
      <c r="A256" t="s">
        <v>4501</v>
      </c>
      <c r="B256" t="s">
        <v>4444</v>
      </c>
      <c r="C256">
        <v>7438426</v>
      </c>
      <c r="D256">
        <v>120053080</v>
      </c>
      <c r="E256" t="s">
        <v>4502</v>
      </c>
      <c r="F256" t="s">
        <v>4503</v>
      </c>
      <c r="G256" t="s">
        <v>2198</v>
      </c>
      <c r="H256" t="s">
        <v>4504</v>
      </c>
      <c r="I256" t="s">
        <v>4505</v>
      </c>
      <c r="J256" t="s">
        <v>2200</v>
      </c>
    </row>
    <row r="257" spans="1:13" x14ac:dyDescent="0.3">
      <c r="A257" t="s">
        <v>308</v>
      </c>
      <c r="B257" t="s">
        <v>4444</v>
      </c>
      <c r="C257">
        <v>7438426</v>
      </c>
      <c r="D257">
        <v>101034864</v>
      </c>
      <c r="E257" t="s">
        <v>309</v>
      </c>
      <c r="G257" t="s">
        <v>2198</v>
      </c>
      <c r="H257" t="s">
        <v>1138</v>
      </c>
      <c r="I257" t="s">
        <v>4506</v>
      </c>
      <c r="K257" t="s">
        <v>4507</v>
      </c>
    </row>
    <row r="258" spans="1:13" x14ac:dyDescent="0.3">
      <c r="A258" t="s">
        <v>310</v>
      </c>
      <c r="B258" t="s">
        <v>4444</v>
      </c>
      <c r="C258">
        <v>7438426</v>
      </c>
      <c r="D258">
        <v>101015509</v>
      </c>
      <c r="G258" t="s">
        <v>2198</v>
      </c>
      <c r="H258" t="s">
        <v>4508</v>
      </c>
      <c r="I258" t="s">
        <v>4509</v>
      </c>
      <c r="K258" t="s">
        <v>4509</v>
      </c>
    </row>
    <row r="259" spans="1:13" x14ac:dyDescent="0.3">
      <c r="A259" t="s">
        <v>4510</v>
      </c>
      <c r="B259" t="s">
        <v>4444</v>
      </c>
      <c r="C259">
        <v>7438426</v>
      </c>
      <c r="D259">
        <v>120050359</v>
      </c>
      <c r="E259" t="s">
        <v>4511</v>
      </c>
      <c r="F259" t="s">
        <v>4512</v>
      </c>
      <c r="G259" t="s">
        <v>2198</v>
      </c>
      <c r="H259" t="s">
        <v>2306</v>
      </c>
      <c r="I259" t="s">
        <v>4513</v>
      </c>
      <c r="J259" t="s">
        <v>2200</v>
      </c>
    </row>
    <row r="260" spans="1:13" x14ac:dyDescent="0.3">
      <c r="A260" t="s">
        <v>311</v>
      </c>
      <c r="B260" t="s">
        <v>4444</v>
      </c>
      <c r="C260">
        <v>7438426</v>
      </c>
      <c r="D260">
        <v>101035099</v>
      </c>
      <c r="E260" t="s">
        <v>312</v>
      </c>
      <c r="G260" t="s">
        <v>2198</v>
      </c>
      <c r="H260" t="s">
        <v>73</v>
      </c>
      <c r="I260" t="s">
        <v>4514</v>
      </c>
    </row>
    <row r="261" spans="1:13" x14ac:dyDescent="0.3">
      <c r="A261" t="s">
        <v>313</v>
      </c>
      <c r="B261" t="s">
        <v>4444</v>
      </c>
      <c r="C261">
        <v>7438426</v>
      </c>
      <c r="D261">
        <v>101035097</v>
      </c>
      <c r="G261" t="s">
        <v>2198</v>
      </c>
      <c r="H261" t="s">
        <v>4515</v>
      </c>
      <c r="I261" t="s">
        <v>4516</v>
      </c>
      <c r="M261" t="s">
        <v>4517</v>
      </c>
    </row>
    <row r="262" spans="1:13" x14ac:dyDescent="0.3">
      <c r="A262" t="s">
        <v>4518</v>
      </c>
      <c r="B262" t="s">
        <v>4444</v>
      </c>
      <c r="C262">
        <v>7438426</v>
      </c>
      <c r="D262">
        <v>120051335</v>
      </c>
      <c r="E262" t="s">
        <v>4519</v>
      </c>
      <c r="G262" t="s">
        <v>2198</v>
      </c>
      <c r="H262" t="s">
        <v>1146</v>
      </c>
      <c r="I262" t="s">
        <v>4520</v>
      </c>
      <c r="J262" t="s">
        <v>2200</v>
      </c>
    </row>
    <row r="263" spans="1:13" x14ac:dyDescent="0.3">
      <c r="A263" t="s">
        <v>314</v>
      </c>
      <c r="B263" t="s">
        <v>4444</v>
      </c>
      <c r="C263">
        <v>7438426</v>
      </c>
      <c r="D263">
        <v>101034899</v>
      </c>
      <c r="E263" t="s">
        <v>315</v>
      </c>
      <c r="G263" t="s">
        <v>2386</v>
      </c>
      <c r="H263" t="s">
        <v>4521</v>
      </c>
      <c r="I263" t="s">
        <v>4522</v>
      </c>
      <c r="M263" t="s">
        <v>4447</v>
      </c>
    </row>
    <row r="264" spans="1:13" x14ac:dyDescent="0.3">
      <c r="A264" t="s">
        <v>316</v>
      </c>
      <c r="B264" t="s">
        <v>4444</v>
      </c>
      <c r="C264">
        <v>7438426</v>
      </c>
      <c r="D264">
        <v>100949913</v>
      </c>
      <c r="E264" t="s">
        <v>317</v>
      </c>
      <c r="G264" t="s">
        <v>2198</v>
      </c>
      <c r="H264" t="s">
        <v>2212</v>
      </c>
      <c r="I264" t="s">
        <v>4523</v>
      </c>
      <c r="J264" t="s">
        <v>2200</v>
      </c>
    </row>
    <row r="265" spans="1:13" x14ac:dyDescent="0.3">
      <c r="A265" t="s">
        <v>318</v>
      </c>
      <c r="B265" t="s">
        <v>4444</v>
      </c>
      <c r="C265">
        <v>7438426</v>
      </c>
      <c r="D265">
        <v>101056234</v>
      </c>
      <c r="E265" t="s">
        <v>319</v>
      </c>
      <c r="G265" t="s">
        <v>2198</v>
      </c>
      <c r="H265" t="s">
        <v>2541</v>
      </c>
      <c r="I265" t="s">
        <v>1269</v>
      </c>
      <c r="J265" t="s">
        <v>2200</v>
      </c>
      <c r="K265" t="s">
        <v>4524</v>
      </c>
    </row>
    <row r="266" spans="1:13" x14ac:dyDescent="0.3">
      <c r="A266" t="s">
        <v>320</v>
      </c>
      <c r="B266" t="s">
        <v>4444</v>
      </c>
      <c r="C266">
        <v>7438426</v>
      </c>
      <c r="D266">
        <v>100949912</v>
      </c>
      <c r="E266" t="s">
        <v>321</v>
      </c>
      <c r="G266" t="s">
        <v>2198</v>
      </c>
      <c r="H266" t="s">
        <v>4211</v>
      </c>
      <c r="I266" t="s">
        <v>4525</v>
      </c>
      <c r="J266" t="s">
        <v>2200</v>
      </c>
    </row>
    <row r="267" spans="1:13" x14ac:dyDescent="0.3">
      <c r="A267" t="s">
        <v>4526</v>
      </c>
      <c r="B267" t="s">
        <v>4444</v>
      </c>
      <c r="C267">
        <v>7438426</v>
      </c>
      <c r="D267">
        <v>120051352</v>
      </c>
      <c r="E267" t="s">
        <v>4527</v>
      </c>
      <c r="G267" t="s">
        <v>2198</v>
      </c>
      <c r="H267" t="s">
        <v>2380</v>
      </c>
      <c r="I267" t="s">
        <v>4528</v>
      </c>
      <c r="J267" t="s">
        <v>2200</v>
      </c>
    </row>
    <row r="268" spans="1:13" x14ac:dyDescent="0.3">
      <c r="A268" t="s">
        <v>4529</v>
      </c>
      <c r="B268" t="s">
        <v>4444</v>
      </c>
      <c r="C268">
        <v>7438426</v>
      </c>
      <c r="D268">
        <v>120081969</v>
      </c>
      <c r="E268" t="s">
        <v>4530</v>
      </c>
      <c r="G268" t="s">
        <v>2198</v>
      </c>
      <c r="H268" t="s">
        <v>1173</v>
      </c>
      <c r="I268" t="s">
        <v>4528</v>
      </c>
      <c r="J268" t="s">
        <v>2200</v>
      </c>
      <c r="L268" t="s">
        <v>4463</v>
      </c>
    </row>
    <row r="269" spans="1:13" x14ac:dyDescent="0.3">
      <c r="A269" t="s">
        <v>457</v>
      </c>
      <c r="B269" t="s">
        <v>4444</v>
      </c>
      <c r="C269">
        <v>7438426</v>
      </c>
      <c r="D269">
        <v>101072681</v>
      </c>
      <c r="E269" t="s">
        <v>458</v>
      </c>
      <c r="G269" t="s">
        <v>2198</v>
      </c>
      <c r="H269" t="s">
        <v>4531</v>
      </c>
      <c r="I269" t="s">
        <v>4532</v>
      </c>
      <c r="J269" t="s">
        <v>2200</v>
      </c>
      <c r="K269" t="s">
        <v>4533</v>
      </c>
    </row>
    <row r="270" spans="1:13" x14ac:dyDescent="0.3">
      <c r="A270" t="s">
        <v>322</v>
      </c>
      <c r="B270" t="s">
        <v>4444</v>
      </c>
      <c r="C270">
        <v>7438426</v>
      </c>
      <c r="D270">
        <v>100949914</v>
      </c>
      <c r="E270" t="s">
        <v>323</v>
      </c>
      <c r="G270" t="s">
        <v>2198</v>
      </c>
      <c r="H270" t="s">
        <v>2363</v>
      </c>
      <c r="I270" t="s">
        <v>4534</v>
      </c>
    </row>
    <row r="271" spans="1:13" x14ac:dyDescent="0.3">
      <c r="A271" t="s">
        <v>324</v>
      </c>
      <c r="B271" t="s">
        <v>4444</v>
      </c>
      <c r="C271">
        <v>7438426</v>
      </c>
      <c r="D271">
        <v>101035093</v>
      </c>
      <c r="E271" t="s">
        <v>325</v>
      </c>
      <c r="G271" t="s">
        <v>2198</v>
      </c>
      <c r="H271" t="s">
        <v>2520</v>
      </c>
      <c r="I271" t="s">
        <v>1113</v>
      </c>
    </row>
    <row r="272" spans="1:13" x14ac:dyDescent="0.3">
      <c r="A272" t="s">
        <v>4535</v>
      </c>
      <c r="B272" t="s">
        <v>4444</v>
      </c>
      <c r="C272">
        <v>7438426</v>
      </c>
      <c r="D272">
        <v>120053081</v>
      </c>
      <c r="E272" t="s">
        <v>4536</v>
      </c>
      <c r="G272" t="s">
        <v>2198</v>
      </c>
      <c r="H272" t="s">
        <v>2269</v>
      </c>
      <c r="I272" t="s">
        <v>4537</v>
      </c>
      <c r="J272" t="s">
        <v>2200</v>
      </c>
    </row>
    <row r="273" spans="1:13" x14ac:dyDescent="0.3">
      <c r="A273" t="s">
        <v>326</v>
      </c>
      <c r="B273" t="s">
        <v>4444</v>
      </c>
      <c r="C273">
        <v>7438426</v>
      </c>
      <c r="D273">
        <v>101034907</v>
      </c>
      <c r="E273" t="s">
        <v>327</v>
      </c>
      <c r="G273" t="s">
        <v>2198</v>
      </c>
      <c r="H273" t="s">
        <v>4538</v>
      </c>
      <c r="I273" t="s">
        <v>4539</v>
      </c>
    </row>
    <row r="274" spans="1:13" x14ac:dyDescent="0.3">
      <c r="A274" t="s">
        <v>328</v>
      </c>
      <c r="B274" t="s">
        <v>4444</v>
      </c>
      <c r="C274">
        <v>7438426</v>
      </c>
      <c r="D274">
        <v>101035095</v>
      </c>
      <c r="E274" t="s">
        <v>329</v>
      </c>
      <c r="G274" t="s">
        <v>2198</v>
      </c>
      <c r="H274" t="s">
        <v>1146</v>
      </c>
      <c r="I274" t="s">
        <v>4540</v>
      </c>
    </row>
    <row r="275" spans="1:13" x14ac:dyDescent="0.3">
      <c r="A275" t="s">
        <v>330</v>
      </c>
      <c r="B275" t="s">
        <v>4444</v>
      </c>
      <c r="C275">
        <v>7438426</v>
      </c>
      <c r="D275">
        <v>101035098</v>
      </c>
      <c r="E275" t="s">
        <v>331</v>
      </c>
      <c r="G275" t="s">
        <v>2198</v>
      </c>
      <c r="H275" t="s">
        <v>2848</v>
      </c>
      <c r="I275" t="s">
        <v>3202</v>
      </c>
    </row>
    <row r="276" spans="1:13" x14ac:dyDescent="0.3">
      <c r="A276" t="s">
        <v>332</v>
      </c>
      <c r="B276" t="s">
        <v>4444</v>
      </c>
      <c r="C276">
        <v>7438426</v>
      </c>
      <c r="D276">
        <v>101056222</v>
      </c>
      <c r="E276" t="s">
        <v>333</v>
      </c>
      <c r="G276" t="s">
        <v>2198</v>
      </c>
      <c r="H276" t="s">
        <v>4541</v>
      </c>
      <c r="I276" t="s">
        <v>4542</v>
      </c>
      <c r="J276" t="s">
        <v>2200</v>
      </c>
      <c r="K276" t="s">
        <v>4543</v>
      </c>
    </row>
    <row r="277" spans="1:13" x14ac:dyDescent="0.3">
      <c r="A277" t="s">
        <v>334</v>
      </c>
      <c r="B277" t="s">
        <v>4444</v>
      </c>
      <c r="C277">
        <v>7438426</v>
      </c>
      <c r="D277">
        <v>100949915</v>
      </c>
      <c r="E277" t="s">
        <v>335</v>
      </c>
      <c r="G277" t="s">
        <v>2198</v>
      </c>
      <c r="H277" t="s">
        <v>4544</v>
      </c>
      <c r="I277" t="s">
        <v>2519</v>
      </c>
      <c r="J277" t="s">
        <v>2898</v>
      </c>
    </row>
    <row r="278" spans="1:13" x14ac:dyDescent="0.3">
      <c r="A278" t="s">
        <v>336</v>
      </c>
      <c r="B278" t="s">
        <v>4444</v>
      </c>
      <c r="C278">
        <v>7438426</v>
      </c>
      <c r="D278">
        <v>100949910</v>
      </c>
      <c r="E278" t="s">
        <v>337</v>
      </c>
      <c r="G278" t="s">
        <v>2198</v>
      </c>
      <c r="H278" t="s">
        <v>2380</v>
      </c>
      <c r="I278" t="s">
        <v>2435</v>
      </c>
      <c r="M278" t="s">
        <v>4447</v>
      </c>
    </row>
    <row r="279" spans="1:13" x14ac:dyDescent="0.3">
      <c r="A279" t="s">
        <v>4545</v>
      </c>
      <c r="B279" t="s">
        <v>4444</v>
      </c>
      <c r="C279">
        <v>7438426</v>
      </c>
      <c r="D279">
        <v>120081990</v>
      </c>
      <c r="G279" t="s">
        <v>2198</v>
      </c>
      <c r="H279" t="s">
        <v>2409</v>
      </c>
      <c r="I279" t="s">
        <v>2424</v>
      </c>
      <c r="J279" t="s">
        <v>2200</v>
      </c>
      <c r="L279" t="s">
        <v>4463</v>
      </c>
    </row>
    <row r="280" spans="1:13" x14ac:dyDescent="0.3">
      <c r="A280" t="s">
        <v>338</v>
      </c>
      <c r="B280" t="s">
        <v>4444</v>
      </c>
      <c r="C280">
        <v>7438426</v>
      </c>
      <c r="D280">
        <v>101035096</v>
      </c>
      <c r="E280" t="s">
        <v>339</v>
      </c>
      <c r="G280" t="s">
        <v>2198</v>
      </c>
      <c r="H280" t="s">
        <v>4546</v>
      </c>
      <c r="I280" t="s">
        <v>4547</v>
      </c>
    </row>
    <row r="281" spans="1:13" x14ac:dyDescent="0.3">
      <c r="A281" t="s">
        <v>340</v>
      </c>
      <c r="B281" t="s">
        <v>4444</v>
      </c>
      <c r="C281">
        <v>7438426</v>
      </c>
      <c r="D281">
        <v>101056223</v>
      </c>
      <c r="E281" t="s">
        <v>341</v>
      </c>
      <c r="G281" t="s">
        <v>2198</v>
      </c>
      <c r="H281" t="s">
        <v>4541</v>
      </c>
      <c r="I281" t="s">
        <v>4548</v>
      </c>
      <c r="J281" t="s">
        <v>2200</v>
      </c>
      <c r="K281" t="s">
        <v>4543</v>
      </c>
    </row>
    <row r="282" spans="1:13" x14ac:dyDescent="0.3">
      <c r="A282" t="s">
        <v>4549</v>
      </c>
      <c r="B282" t="s">
        <v>4444</v>
      </c>
      <c r="C282">
        <v>7438426</v>
      </c>
      <c r="D282">
        <v>101077997</v>
      </c>
      <c r="E282" t="s">
        <v>4550</v>
      </c>
      <c r="G282" t="s">
        <v>2198</v>
      </c>
      <c r="H282" t="s">
        <v>2382</v>
      </c>
      <c r="I282" t="s">
        <v>4551</v>
      </c>
      <c r="J282" t="s">
        <v>2343</v>
      </c>
      <c r="K282" t="s">
        <v>4090</v>
      </c>
    </row>
    <row r="283" spans="1:13" x14ac:dyDescent="0.3">
      <c r="A283" t="s">
        <v>4552</v>
      </c>
      <c r="B283" t="s">
        <v>4444</v>
      </c>
      <c r="C283">
        <v>7438426</v>
      </c>
      <c r="D283">
        <v>120051162</v>
      </c>
      <c r="E283" t="s">
        <v>4553</v>
      </c>
      <c r="G283" t="s">
        <v>2198</v>
      </c>
      <c r="H283" t="s">
        <v>1202</v>
      </c>
      <c r="I283" t="s">
        <v>4554</v>
      </c>
      <c r="J283" t="s">
        <v>2200</v>
      </c>
    </row>
    <row r="284" spans="1:13" x14ac:dyDescent="0.3">
      <c r="A284" t="s">
        <v>342</v>
      </c>
      <c r="B284" t="s">
        <v>4444</v>
      </c>
      <c r="C284">
        <v>7438426</v>
      </c>
      <c r="D284">
        <v>120053069</v>
      </c>
      <c r="E284" t="s">
        <v>343</v>
      </c>
      <c r="G284" t="s">
        <v>2198</v>
      </c>
      <c r="H284" t="s">
        <v>1169</v>
      </c>
      <c r="I284" t="s">
        <v>4555</v>
      </c>
      <c r="J284" t="s">
        <v>2200</v>
      </c>
      <c r="L284" t="s">
        <v>4533</v>
      </c>
    </row>
    <row r="285" spans="1:13" x14ac:dyDescent="0.3">
      <c r="A285" t="s">
        <v>2760</v>
      </c>
      <c r="B285" t="s">
        <v>1969</v>
      </c>
      <c r="C285">
        <v>110006112</v>
      </c>
      <c r="D285">
        <v>120172473</v>
      </c>
      <c r="E285" t="s">
        <v>2761</v>
      </c>
      <c r="G285" t="s">
        <v>2386</v>
      </c>
      <c r="H285" t="s">
        <v>2856</v>
      </c>
      <c r="I285" t="s">
        <v>2857</v>
      </c>
      <c r="J285" t="s">
        <v>4573</v>
      </c>
    </row>
    <row r="286" spans="1:13" x14ac:dyDescent="0.3">
      <c r="A286" t="s">
        <v>2007</v>
      </c>
      <c r="B286" t="s">
        <v>1969</v>
      </c>
      <c r="C286">
        <v>110006112</v>
      </c>
      <c r="D286">
        <v>120171270</v>
      </c>
      <c r="E286" t="s">
        <v>2025</v>
      </c>
      <c r="G286" t="s">
        <v>2198</v>
      </c>
      <c r="H286" t="s">
        <v>1089</v>
      </c>
      <c r="I286" t="s">
        <v>4574</v>
      </c>
      <c r="J286" t="s">
        <v>2200</v>
      </c>
    </row>
    <row r="287" spans="1:13" x14ac:dyDescent="0.3">
      <c r="A287" t="s">
        <v>1957</v>
      </c>
      <c r="B287" t="s">
        <v>1969</v>
      </c>
      <c r="C287">
        <v>110006112</v>
      </c>
      <c r="D287">
        <v>101140268</v>
      </c>
      <c r="E287" t="s">
        <v>1963</v>
      </c>
      <c r="G287" t="s">
        <v>2198</v>
      </c>
      <c r="H287" t="s">
        <v>3321</v>
      </c>
      <c r="I287" t="s">
        <v>4575</v>
      </c>
      <c r="J287" t="s">
        <v>2200</v>
      </c>
    </row>
    <row r="288" spans="1:13" x14ac:dyDescent="0.3">
      <c r="A288" t="s">
        <v>1958</v>
      </c>
      <c r="B288" t="s">
        <v>1969</v>
      </c>
      <c r="C288">
        <v>110006112</v>
      </c>
      <c r="D288">
        <v>101116241</v>
      </c>
      <c r="E288" t="s">
        <v>1964</v>
      </c>
      <c r="F288" t="s">
        <v>4576</v>
      </c>
      <c r="G288" t="s">
        <v>2198</v>
      </c>
      <c r="H288" t="s">
        <v>1164</v>
      </c>
      <c r="I288" t="s">
        <v>4577</v>
      </c>
    </row>
    <row r="289" spans="1:13" x14ac:dyDescent="0.3">
      <c r="A289" t="s">
        <v>1959</v>
      </c>
      <c r="B289" t="s">
        <v>1969</v>
      </c>
      <c r="C289">
        <v>110006112</v>
      </c>
      <c r="D289">
        <v>101134648</v>
      </c>
      <c r="E289" t="s">
        <v>1965</v>
      </c>
      <c r="G289" t="s">
        <v>2198</v>
      </c>
      <c r="H289" t="s">
        <v>4578</v>
      </c>
      <c r="I289" t="s">
        <v>1174</v>
      </c>
      <c r="J289" t="s">
        <v>2200</v>
      </c>
    </row>
    <row r="290" spans="1:13" x14ac:dyDescent="0.3">
      <c r="A290" t="s">
        <v>1960</v>
      </c>
      <c r="B290" t="s">
        <v>1969</v>
      </c>
      <c r="C290">
        <v>110006112</v>
      </c>
      <c r="D290">
        <v>101140269</v>
      </c>
      <c r="E290" t="s">
        <v>1966</v>
      </c>
      <c r="G290" t="s">
        <v>2198</v>
      </c>
      <c r="H290" t="s">
        <v>1169</v>
      </c>
      <c r="I290" t="s">
        <v>4579</v>
      </c>
      <c r="J290" t="s">
        <v>2200</v>
      </c>
    </row>
    <row r="291" spans="1:13" x14ac:dyDescent="0.3">
      <c r="A291" t="s">
        <v>2026</v>
      </c>
      <c r="B291" t="s">
        <v>1969</v>
      </c>
      <c r="C291">
        <v>110006112</v>
      </c>
      <c r="D291">
        <v>120171267</v>
      </c>
      <c r="E291" t="s">
        <v>2027</v>
      </c>
      <c r="G291" t="s">
        <v>2198</v>
      </c>
      <c r="H291" t="s">
        <v>4580</v>
      </c>
      <c r="I291" t="s">
        <v>4581</v>
      </c>
      <c r="J291" t="s">
        <v>2200</v>
      </c>
    </row>
    <row r="292" spans="1:13" x14ac:dyDescent="0.3">
      <c r="A292" t="s">
        <v>4582</v>
      </c>
      <c r="B292" t="s">
        <v>1969</v>
      </c>
      <c r="C292">
        <v>110006112</v>
      </c>
      <c r="D292">
        <v>101140280</v>
      </c>
      <c r="E292" t="s">
        <v>1967</v>
      </c>
      <c r="G292" t="s">
        <v>2198</v>
      </c>
      <c r="H292" t="s">
        <v>4583</v>
      </c>
      <c r="I292" t="s">
        <v>4584</v>
      </c>
      <c r="J292" t="s">
        <v>2200</v>
      </c>
    </row>
    <row r="293" spans="1:13" x14ac:dyDescent="0.3">
      <c r="A293" t="s">
        <v>2028</v>
      </c>
      <c r="B293" t="s">
        <v>1969</v>
      </c>
      <c r="C293">
        <v>110006112</v>
      </c>
      <c r="D293">
        <v>120171268</v>
      </c>
      <c r="E293" t="s">
        <v>2029</v>
      </c>
      <c r="G293" t="s">
        <v>2198</v>
      </c>
      <c r="H293" t="s">
        <v>4585</v>
      </c>
      <c r="I293" t="s">
        <v>4586</v>
      </c>
      <c r="J293" t="s">
        <v>2200</v>
      </c>
    </row>
    <row r="294" spans="1:13" x14ac:dyDescent="0.3">
      <c r="A294" t="s">
        <v>2030</v>
      </c>
      <c r="B294" t="s">
        <v>1969</v>
      </c>
      <c r="C294">
        <v>110006112</v>
      </c>
      <c r="D294">
        <v>120171266</v>
      </c>
      <c r="E294" t="s">
        <v>2031</v>
      </c>
      <c r="G294" t="s">
        <v>2198</v>
      </c>
      <c r="H294" t="s">
        <v>4587</v>
      </c>
      <c r="I294" t="s">
        <v>2590</v>
      </c>
      <c r="J294" t="s">
        <v>2200</v>
      </c>
    </row>
    <row r="295" spans="1:13" x14ac:dyDescent="0.3">
      <c r="A295" t="s">
        <v>1962</v>
      </c>
      <c r="B295" t="s">
        <v>1969</v>
      </c>
      <c r="C295">
        <v>110006112</v>
      </c>
      <c r="D295">
        <v>101140281</v>
      </c>
      <c r="E295" t="s">
        <v>4588</v>
      </c>
      <c r="G295" t="s">
        <v>2198</v>
      </c>
      <c r="H295" t="s">
        <v>4589</v>
      </c>
      <c r="I295" t="s">
        <v>4590</v>
      </c>
      <c r="J295" t="s">
        <v>2200</v>
      </c>
    </row>
    <row r="296" spans="1:13" x14ac:dyDescent="0.3">
      <c r="A296" t="s">
        <v>2032</v>
      </c>
      <c r="B296" t="s">
        <v>1969</v>
      </c>
      <c r="C296">
        <v>110006112</v>
      </c>
      <c r="D296">
        <v>120171265</v>
      </c>
      <c r="E296" t="s">
        <v>2033</v>
      </c>
      <c r="G296" t="s">
        <v>2198</v>
      </c>
      <c r="H296" t="s">
        <v>2502</v>
      </c>
      <c r="I296" t="s">
        <v>4591</v>
      </c>
      <c r="J296" t="s">
        <v>2200</v>
      </c>
    </row>
    <row r="297" spans="1:13" x14ac:dyDescent="0.3">
      <c r="A297" t="s">
        <v>2034</v>
      </c>
      <c r="B297" t="s">
        <v>1969</v>
      </c>
      <c r="C297">
        <v>110006112</v>
      </c>
      <c r="D297">
        <v>120171269</v>
      </c>
      <c r="E297" t="s">
        <v>2035</v>
      </c>
      <c r="G297" t="s">
        <v>2198</v>
      </c>
      <c r="H297" t="s">
        <v>2598</v>
      </c>
      <c r="I297" t="s">
        <v>4592</v>
      </c>
      <c r="J297" t="s">
        <v>2200</v>
      </c>
    </row>
    <row r="298" spans="1:13" x14ac:dyDescent="0.3">
      <c r="A298" t="s">
        <v>169</v>
      </c>
      <c r="B298" t="s">
        <v>170</v>
      </c>
      <c r="C298">
        <v>7498595</v>
      </c>
      <c r="D298">
        <v>101059028</v>
      </c>
      <c r="E298" t="s">
        <v>171</v>
      </c>
      <c r="G298" t="s">
        <v>2198</v>
      </c>
      <c r="H298" t="s">
        <v>1256</v>
      </c>
      <c r="I298" t="s">
        <v>2472</v>
      </c>
      <c r="M298" t="s">
        <v>4999</v>
      </c>
    </row>
    <row r="299" spans="1:13" x14ac:dyDescent="0.3">
      <c r="A299" t="s">
        <v>172</v>
      </c>
      <c r="B299" t="s">
        <v>170</v>
      </c>
      <c r="C299">
        <v>7498595</v>
      </c>
      <c r="D299">
        <v>101059027</v>
      </c>
      <c r="E299" t="s">
        <v>173</v>
      </c>
      <c r="G299" t="s">
        <v>2198</v>
      </c>
      <c r="H299" t="s">
        <v>1359</v>
      </c>
      <c r="I299" t="s">
        <v>4214</v>
      </c>
      <c r="M299" t="s">
        <v>4999</v>
      </c>
    </row>
    <row r="300" spans="1:13" x14ac:dyDescent="0.3">
      <c r="A300" t="s">
        <v>174</v>
      </c>
      <c r="B300" t="s">
        <v>175</v>
      </c>
      <c r="C300">
        <v>7498596</v>
      </c>
      <c r="D300">
        <v>101059050</v>
      </c>
      <c r="E300" t="s">
        <v>176</v>
      </c>
      <c r="G300" t="s">
        <v>2198</v>
      </c>
      <c r="H300" t="s">
        <v>2416</v>
      </c>
      <c r="I300" t="s">
        <v>2417</v>
      </c>
      <c r="M300" t="s">
        <v>2418</v>
      </c>
    </row>
    <row r="301" spans="1:13" x14ac:dyDescent="0.3">
      <c r="A301" t="s">
        <v>177</v>
      </c>
      <c r="B301" t="s">
        <v>175</v>
      </c>
      <c r="C301">
        <v>7498596</v>
      </c>
      <c r="D301">
        <v>101059029</v>
      </c>
      <c r="E301" t="s">
        <v>178</v>
      </c>
      <c r="G301" t="s">
        <v>2386</v>
      </c>
      <c r="H301" t="s">
        <v>2419</v>
      </c>
      <c r="I301" t="s">
        <v>2407</v>
      </c>
      <c r="M301" t="s">
        <v>2418</v>
      </c>
    </row>
    <row r="302" spans="1:13" x14ac:dyDescent="0.3">
      <c r="A302" t="s">
        <v>179</v>
      </c>
      <c r="B302" t="s">
        <v>175</v>
      </c>
      <c r="C302">
        <v>7498596</v>
      </c>
      <c r="D302">
        <v>101059016</v>
      </c>
      <c r="E302" t="s">
        <v>180</v>
      </c>
      <c r="G302" t="s">
        <v>2198</v>
      </c>
      <c r="H302" t="s">
        <v>1133</v>
      </c>
      <c r="I302" t="s">
        <v>2420</v>
      </c>
      <c r="M302" t="s">
        <v>2418</v>
      </c>
    </row>
    <row r="303" spans="1:13" x14ac:dyDescent="0.3">
      <c r="A303" t="s">
        <v>181</v>
      </c>
      <c r="B303" t="s">
        <v>175</v>
      </c>
      <c r="C303">
        <v>7498596</v>
      </c>
      <c r="D303">
        <v>101059017</v>
      </c>
      <c r="E303" t="s">
        <v>182</v>
      </c>
      <c r="G303" t="s">
        <v>2198</v>
      </c>
      <c r="H303" t="s">
        <v>2421</v>
      </c>
      <c r="I303" t="s">
        <v>2422</v>
      </c>
      <c r="M303" t="s">
        <v>2418</v>
      </c>
    </row>
    <row r="304" spans="1:13" x14ac:dyDescent="0.3">
      <c r="A304" t="s">
        <v>2187</v>
      </c>
      <c r="B304" t="s">
        <v>175</v>
      </c>
      <c r="C304">
        <v>7498596</v>
      </c>
      <c r="D304">
        <v>120172026</v>
      </c>
      <c r="E304" t="s">
        <v>2423</v>
      </c>
      <c r="G304" t="s">
        <v>2198</v>
      </c>
      <c r="H304" t="s">
        <v>2283</v>
      </c>
      <c r="I304" t="s">
        <v>2424</v>
      </c>
      <c r="J304" t="s">
        <v>2200</v>
      </c>
    </row>
    <row r="305" spans="1:13" x14ac:dyDescent="0.3">
      <c r="A305" t="s">
        <v>183</v>
      </c>
      <c r="B305" t="s">
        <v>175</v>
      </c>
      <c r="C305">
        <v>7498596</v>
      </c>
      <c r="D305">
        <v>101059043</v>
      </c>
      <c r="E305" t="s">
        <v>184</v>
      </c>
      <c r="G305" t="s">
        <v>2198</v>
      </c>
      <c r="H305" t="s">
        <v>2425</v>
      </c>
      <c r="I305" t="s">
        <v>2426</v>
      </c>
      <c r="M305" t="s">
        <v>2418</v>
      </c>
    </row>
    <row r="306" spans="1:13" x14ac:dyDescent="0.3">
      <c r="A306" t="s">
        <v>1999</v>
      </c>
      <c r="B306" t="s">
        <v>2000</v>
      </c>
      <c r="C306">
        <v>7498597</v>
      </c>
      <c r="D306">
        <v>120170638</v>
      </c>
      <c r="E306" t="s">
        <v>2427</v>
      </c>
      <c r="G306" t="s">
        <v>2198</v>
      </c>
      <c r="H306" t="s">
        <v>1141</v>
      </c>
      <c r="I306" t="s">
        <v>2428</v>
      </c>
      <c r="J306" t="s">
        <v>2200</v>
      </c>
    </row>
    <row r="307" spans="1:13" x14ac:dyDescent="0.3">
      <c r="A307" t="s">
        <v>2012</v>
      </c>
      <c r="B307" t="s">
        <v>2000</v>
      </c>
      <c r="C307">
        <v>7498597</v>
      </c>
      <c r="D307">
        <v>120169716</v>
      </c>
      <c r="E307" t="s">
        <v>2013</v>
      </c>
      <c r="G307" t="s">
        <v>2198</v>
      </c>
      <c r="H307" t="s">
        <v>2425</v>
      </c>
      <c r="I307" t="s">
        <v>2407</v>
      </c>
      <c r="J307" t="s">
        <v>2200</v>
      </c>
    </row>
    <row r="308" spans="1:13" x14ac:dyDescent="0.3">
      <c r="A308" t="s">
        <v>2014</v>
      </c>
      <c r="B308" t="s">
        <v>2000</v>
      </c>
      <c r="C308">
        <v>7498597</v>
      </c>
      <c r="D308">
        <v>120040700</v>
      </c>
      <c r="E308" t="s">
        <v>2015</v>
      </c>
      <c r="G308" t="s">
        <v>2198</v>
      </c>
      <c r="H308" t="s">
        <v>2429</v>
      </c>
      <c r="I308" t="s">
        <v>2430</v>
      </c>
      <c r="J308" t="s">
        <v>2200</v>
      </c>
      <c r="K308" t="s">
        <v>2431</v>
      </c>
      <c r="L308" t="s">
        <v>2432</v>
      </c>
    </row>
    <row r="309" spans="1:13" x14ac:dyDescent="0.3">
      <c r="A309" t="s">
        <v>2001</v>
      </c>
      <c r="B309" t="s">
        <v>2000</v>
      </c>
      <c r="C309">
        <v>7498597</v>
      </c>
      <c r="D309">
        <v>120170931</v>
      </c>
      <c r="E309" t="s">
        <v>2016</v>
      </c>
      <c r="G309" t="s">
        <v>2198</v>
      </c>
      <c r="H309" t="s">
        <v>2433</v>
      </c>
      <c r="I309" t="s">
        <v>2434</v>
      </c>
      <c r="J309" t="s">
        <v>2200</v>
      </c>
    </row>
    <row r="310" spans="1:13" x14ac:dyDescent="0.3">
      <c r="A310" t="s">
        <v>1919</v>
      </c>
      <c r="B310" t="s">
        <v>2000</v>
      </c>
      <c r="C310">
        <v>7498597</v>
      </c>
      <c r="D310">
        <v>120043505</v>
      </c>
      <c r="E310" t="s">
        <v>1920</v>
      </c>
      <c r="G310" t="s">
        <v>2198</v>
      </c>
      <c r="H310" t="s">
        <v>1091</v>
      </c>
      <c r="I310" t="s">
        <v>2435</v>
      </c>
      <c r="J310" t="s">
        <v>2200</v>
      </c>
      <c r="L310" t="s">
        <v>2436</v>
      </c>
      <c r="M310" t="s">
        <v>2437</v>
      </c>
    </row>
    <row r="311" spans="1:13" x14ac:dyDescent="0.3">
      <c r="A311" t="s">
        <v>2182</v>
      </c>
      <c r="B311" t="s">
        <v>2180</v>
      </c>
      <c r="C311">
        <v>7498601</v>
      </c>
      <c r="D311">
        <v>101059015</v>
      </c>
      <c r="E311" t="s">
        <v>2438</v>
      </c>
      <c r="G311" t="s">
        <v>2386</v>
      </c>
      <c r="H311" t="s">
        <v>2439</v>
      </c>
      <c r="I311" t="s">
        <v>2440</v>
      </c>
      <c r="M311" t="s">
        <v>2441</v>
      </c>
    </row>
    <row r="312" spans="1:13" x14ac:dyDescent="0.3">
      <c r="A312" t="s">
        <v>2181</v>
      </c>
      <c r="B312" t="s">
        <v>2180</v>
      </c>
      <c r="C312">
        <v>7498601</v>
      </c>
      <c r="D312">
        <v>120172022</v>
      </c>
      <c r="E312" t="s">
        <v>2442</v>
      </c>
      <c r="G312" t="s">
        <v>2198</v>
      </c>
      <c r="H312" t="s">
        <v>1161</v>
      </c>
      <c r="I312" t="s">
        <v>2443</v>
      </c>
      <c r="J312" t="s">
        <v>2200</v>
      </c>
    </row>
    <row r="313" spans="1:13" x14ac:dyDescent="0.3">
      <c r="A313" t="s">
        <v>2179</v>
      </c>
      <c r="B313" t="s">
        <v>2180</v>
      </c>
      <c r="C313">
        <v>7498601</v>
      </c>
      <c r="D313">
        <v>120172021</v>
      </c>
      <c r="E313" t="s">
        <v>2444</v>
      </c>
      <c r="G313" t="s">
        <v>2198</v>
      </c>
      <c r="H313" t="s">
        <v>2445</v>
      </c>
      <c r="I313" t="s">
        <v>2446</v>
      </c>
      <c r="J313" t="s">
        <v>2200</v>
      </c>
    </row>
    <row r="314" spans="1:13" x14ac:dyDescent="0.3">
      <c r="A314" t="s">
        <v>2115</v>
      </c>
      <c r="B314" t="s">
        <v>2116</v>
      </c>
      <c r="C314">
        <v>528490</v>
      </c>
      <c r="D314">
        <v>120171952</v>
      </c>
      <c r="E314" t="s">
        <v>2447</v>
      </c>
      <c r="G314" t="s">
        <v>2386</v>
      </c>
      <c r="H314" t="s">
        <v>2448</v>
      </c>
      <c r="I314" t="s">
        <v>2449</v>
      </c>
      <c r="J314" t="s">
        <v>2200</v>
      </c>
    </row>
    <row r="315" spans="1:13" x14ac:dyDescent="0.3">
      <c r="A315" t="s">
        <v>2114</v>
      </c>
      <c r="B315" t="s">
        <v>2116</v>
      </c>
      <c r="C315">
        <v>528490</v>
      </c>
      <c r="D315">
        <v>120171951</v>
      </c>
      <c r="E315" t="s">
        <v>2450</v>
      </c>
      <c r="G315" t="s">
        <v>2198</v>
      </c>
      <c r="H315" t="s">
        <v>1091</v>
      </c>
      <c r="I315" t="s">
        <v>2451</v>
      </c>
      <c r="J315" t="s">
        <v>2200</v>
      </c>
    </row>
    <row r="316" spans="1:13" x14ac:dyDescent="0.3">
      <c r="A316" t="s">
        <v>2452</v>
      </c>
      <c r="B316" t="s">
        <v>2116</v>
      </c>
      <c r="C316">
        <v>528490</v>
      </c>
      <c r="D316">
        <v>100740897</v>
      </c>
      <c r="E316" t="s">
        <v>2453</v>
      </c>
      <c r="G316" t="s">
        <v>2198</v>
      </c>
      <c r="H316" t="s">
        <v>2425</v>
      </c>
      <c r="I316" t="s">
        <v>2454</v>
      </c>
      <c r="L316" t="s">
        <v>2455</v>
      </c>
      <c r="M316" t="s">
        <v>2456</v>
      </c>
    </row>
    <row r="317" spans="1:13" x14ac:dyDescent="0.3">
      <c r="A317" t="s">
        <v>2117</v>
      </c>
      <c r="B317" t="s">
        <v>2116</v>
      </c>
      <c r="C317">
        <v>528490</v>
      </c>
      <c r="D317">
        <v>120171954</v>
      </c>
      <c r="E317" t="s">
        <v>2457</v>
      </c>
      <c r="G317" t="s">
        <v>2198</v>
      </c>
      <c r="H317" t="s">
        <v>1129</v>
      </c>
      <c r="I317" t="s">
        <v>2458</v>
      </c>
      <c r="J317" t="s">
        <v>2200</v>
      </c>
    </row>
    <row r="318" spans="1:13" x14ac:dyDescent="0.3">
      <c r="A318" t="s">
        <v>2459</v>
      </c>
      <c r="B318" t="s">
        <v>2116</v>
      </c>
      <c r="C318">
        <v>528490</v>
      </c>
      <c r="D318">
        <v>120171953</v>
      </c>
      <c r="E318" t="s">
        <v>2460</v>
      </c>
      <c r="G318" t="s">
        <v>2198</v>
      </c>
      <c r="H318" t="s">
        <v>2461</v>
      </c>
      <c r="I318" t="s">
        <v>2462</v>
      </c>
      <c r="J318" t="s">
        <v>2200</v>
      </c>
    </row>
    <row r="319" spans="1:13" x14ac:dyDescent="0.3">
      <c r="A319" t="s">
        <v>277</v>
      </c>
      <c r="B319" t="s">
        <v>2868</v>
      </c>
      <c r="C319">
        <v>7463020</v>
      </c>
      <c r="D319">
        <v>100994251</v>
      </c>
      <c r="E319" t="s">
        <v>279</v>
      </c>
      <c r="G319" t="s">
        <v>2198</v>
      </c>
      <c r="H319" t="s">
        <v>1182</v>
      </c>
      <c r="I319" t="s">
        <v>2902</v>
      </c>
      <c r="M319" t="s">
        <v>2903</v>
      </c>
    </row>
    <row r="320" spans="1:13" x14ac:dyDescent="0.3">
      <c r="A320" t="s">
        <v>2869</v>
      </c>
      <c r="B320" t="s">
        <v>2868</v>
      </c>
      <c r="C320">
        <v>7463020</v>
      </c>
      <c r="D320">
        <v>101140208</v>
      </c>
      <c r="E320" t="s">
        <v>2870</v>
      </c>
      <c r="G320" t="s">
        <v>2198</v>
      </c>
      <c r="H320" t="s">
        <v>2904</v>
      </c>
      <c r="I320" t="s">
        <v>2905</v>
      </c>
      <c r="J320" t="s">
        <v>2898</v>
      </c>
      <c r="M320" t="s">
        <v>2903</v>
      </c>
    </row>
    <row r="321" spans="1:13" x14ac:dyDescent="0.3">
      <c r="A321" t="s">
        <v>5000</v>
      </c>
      <c r="B321" t="s">
        <v>5001</v>
      </c>
      <c r="C321">
        <v>120056427</v>
      </c>
      <c r="D321">
        <v>120056753</v>
      </c>
      <c r="E321" t="s">
        <v>5002</v>
      </c>
      <c r="G321" t="s">
        <v>2198</v>
      </c>
      <c r="H321" t="s">
        <v>1099</v>
      </c>
      <c r="I321" t="s">
        <v>2483</v>
      </c>
      <c r="J321" t="s">
        <v>2200</v>
      </c>
      <c r="L321" t="s">
        <v>5003</v>
      </c>
    </row>
    <row r="322" spans="1:13" x14ac:dyDescent="0.3">
      <c r="A322" t="s">
        <v>5004</v>
      </c>
      <c r="B322" t="s">
        <v>5001</v>
      </c>
      <c r="C322">
        <v>120056427</v>
      </c>
      <c r="D322">
        <v>120056754</v>
      </c>
      <c r="E322" t="s">
        <v>5005</v>
      </c>
      <c r="G322" t="s">
        <v>2198</v>
      </c>
      <c r="H322" t="s">
        <v>5006</v>
      </c>
      <c r="I322" t="s">
        <v>5007</v>
      </c>
      <c r="J322" t="s">
        <v>2200</v>
      </c>
      <c r="L322" t="s">
        <v>4015</v>
      </c>
    </row>
    <row r="323" spans="1:13" x14ac:dyDescent="0.3">
      <c r="A323" t="s">
        <v>5008</v>
      </c>
      <c r="B323" t="s">
        <v>5001</v>
      </c>
      <c r="C323">
        <v>120056427</v>
      </c>
      <c r="D323">
        <v>120056752</v>
      </c>
      <c r="E323" t="s">
        <v>5009</v>
      </c>
      <c r="F323" t="s">
        <v>5010</v>
      </c>
      <c r="G323" t="s">
        <v>2198</v>
      </c>
      <c r="H323" t="s">
        <v>2598</v>
      </c>
      <c r="I323" t="s">
        <v>2571</v>
      </c>
      <c r="J323" t="s">
        <v>4105</v>
      </c>
      <c r="L323" t="s">
        <v>5011</v>
      </c>
    </row>
    <row r="324" spans="1:13" x14ac:dyDescent="0.3">
      <c r="A324" t="s">
        <v>5012</v>
      </c>
      <c r="B324" t="s">
        <v>5001</v>
      </c>
      <c r="C324">
        <v>120056427</v>
      </c>
      <c r="D324">
        <v>120056751</v>
      </c>
      <c r="E324" t="s">
        <v>5013</v>
      </c>
      <c r="G324" t="s">
        <v>2198</v>
      </c>
      <c r="H324" t="s">
        <v>73</v>
      </c>
      <c r="I324" t="s">
        <v>5014</v>
      </c>
      <c r="J324" t="s">
        <v>2200</v>
      </c>
      <c r="L324" t="s">
        <v>2750</v>
      </c>
    </row>
    <row r="325" spans="1:13" x14ac:dyDescent="0.3">
      <c r="A325" t="s">
        <v>2011</v>
      </c>
      <c r="B325" t="s">
        <v>2017</v>
      </c>
      <c r="C325">
        <v>7463022</v>
      </c>
      <c r="D325">
        <v>120171249</v>
      </c>
      <c r="E325" t="s">
        <v>2018</v>
      </c>
      <c r="G325" t="s">
        <v>2198</v>
      </c>
      <c r="H325" t="s">
        <v>4420</v>
      </c>
      <c r="I325" t="s">
        <v>5015</v>
      </c>
      <c r="J325" t="s">
        <v>2200</v>
      </c>
    </row>
    <row r="326" spans="1:13" x14ac:dyDescent="0.3">
      <c r="A326" t="s">
        <v>2010</v>
      </c>
      <c r="B326" t="s">
        <v>2017</v>
      </c>
      <c r="C326">
        <v>7463022</v>
      </c>
      <c r="D326">
        <v>120171155</v>
      </c>
      <c r="F326" t="s">
        <v>2019</v>
      </c>
      <c r="G326" t="s">
        <v>2198</v>
      </c>
      <c r="H326" t="s">
        <v>2523</v>
      </c>
      <c r="I326" t="s">
        <v>5016</v>
      </c>
      <c r="J326" t="s">
        <v>2200</v>
      </c>
    </row>
    <row r="327" spans="1:13" x14ac:dyDescent="0.3">
      <c r="A327" t="s">
        <v>2763</v>
      </c>
      <c r="B327" t="s">
        <v>2017</v>
      </c>
      <c r="C327">
        <v>7463022</v>
      </c>
      <c r="D327">
        <v>120172474</v>
      </c>
      <c r="E327" t="s">
        <v>2764</v>
      </c>
      <c r="G327" t="s">
        <v>2198</v>
      </c>
      <c r="H327" t="s">
        <v>1355</v>
      </c>
      <c r="I327" t="s">
        <v>2858</v>
      </c>
      <c r="J327" t="s">
        <v>2200</v>
      </c>
    </row>
    <row r="328" spans="1:13" x14ac:dyDescent="0.3">
      <c r="A328" t="s">
        <v>2020</v>
      </c>
      <c r="B328" t="s">
        <v>2017</v>
      </c>
      <c r="C328">
        <v>7463022</v>
      </c>
      <c r="D328">
        <v>100994250</v>
      </c>
      <c r="E328" t="s">
        <v>2021</v>
      </c>
      <c r="G328" t="s">
        <v>2198</v>
      </c>
      <c r="H328" t="s">
        <v>2425</v>
      </c>
      <c r="I328" t="s">
        <v>5017</v>
      </c>
      <c r="J328" t="s">
        <v>4151</v>
      </c>
      <c r="M328" t="s">
        <v>5018</v>
      </c>
    </row>
    <row r="329" spans="1:13" x14ac:dyDescent="0.3">
      <c r="A329" t="s">
        <v>2022</v>
      </c>
      <c r="B329" t="s">
        <v>2017</v>
      </c>
      <c r="C329">
        <v>7463022</v>
      </c>
      <c r="D329">
        <v>101140249</v>
      </c>
      <c r="E329" t="s">
        <v>2023</v>
      </c>
      <c r="G329" t="s">
        <v>2198</v>
      </c>
      <c r="H329" t="s">
        <v>1162</v>
      </c>
      <c r="I329" t="s">
        <v>5019</v>
      </c>
      <c r="J329" t="s">
        <v>2898</v>
      </c>
      <c r="M329" t="s">
        <v>5018</v>
      </c>
    </row>
    <row r="330" spans="1:13" x14ac:dyDescent="0.3">
      <c r="A330" t="s">
        <v>192</v>
      </c>
      <c r="B330" t="s">
        <v>193</v>
      </c>
      <c r="C330">
        <v>7498602</v>
      </c>
      <c r="D330">
        <v>101058800</v>
      </c>
      <c r="E330" t="s">
        <v>194</v>
      </c>
      <c r="G330" t="s">
        <v>2198</v>
      </c>
      <c r="H330" t="s">
        <v>1091</v>
      </c>
      <c r="I330" t="s">
        <v>5020</v>
      </c>
      <c r="M330" t="s">
        <v>5021</v>
      </c>
    </row>
    <row r="331" spans="1:13" x14ac:dyDescent="0.3">
      <c r="A331" t="s">
        <v>196</v>
      </c>
      <c r="B331" t="s">
        <v>197</v>
      </c>
      <c r="C331">
        <v>7498606</v>
      </c>
      <c r="D331">
        <v>101058784</v>
      </c>
      <c r="E331" t="s">
        <v>198</v>
      </c>
      <c r="G331" t="s">
        <v>2198</v>
      </c>
      <c r="H331" t="s">
        <v>5022</v>
      </c>
      <c r="I331" t="s">
        <v>5023</v>
      </c>
      <c r="M331" t="s">
        <v>5024</v>
      </c>
    </row>
    <row r="332" spans="1:13" x14ac:dyDescent="0.3">
      <c r="A332" t="s">
        <v>200</v>
      </c>
      <c r="B332" t="s">
        <v>197</v>
      </c>
      <c r="C332">
        <v>7498606</v>
      </c>
      <c r="D332">
        <v>101058777</v>
      </c>
      <c r="E332" t="s">
        <v>201</v>
      </c>
      <c r="G332" t="s">
        <v>2198</v>
      </c>
      <c r="H332" t="s">
        <v>5025</v>
      </c>
      <c r="I332" t="s">
        <v>3331</v>
      </c>
      <c r="M332" t="s">
        <v>5024</v>
      </c>
    </row>
    <row r="333" spans="1:13" x14ac:dyDescent="0.3">
      <c r="A333" t="s">
        <v>202</v>
      </c>
      <c r="B333" t="s">
        <v>197</v>
      </c>
      <c r="C333">
        <v>7498606</v>
      </c>
      <c r="D333">
        <v>101058778</v>
      </c>
      <c r="E333" t="s">
        <v>203</v>
      </c>
      <c r="G333" t="s">
        <v>2386</v>
      </c>
      <c r="H333" t="s">
        <v>5026</v>
      </c>
      <c r="I333" t="s">
        <v>5027</v>
      </c>
      <c r="M333" t="s">
        <v>5024</v>
      </c>
    </row>
    <row r="334" spans="1:13" x14ac:dyDescent="0.3">
      <c r="A334" t="s">
        <v>48</v>
      </c>
      <c r="B334" t="s">
        <v>5028</v>
      </c>
      <c r="C334">
        <v>7478385</v>
      </c>
      <c r="D334">
        <v>101004928</v>
      </c>
      <c r="E334" t="s">
        <v>5029</v>
      </c>
      <c r="G334" t="s">
        <v>2198</v>
      </c>
      <c r="H334" t="s">
        <v>1161</v>
      </c>
      <c r="I334" t="s">
        <v>2426</v>
      </c>
      <c r="J334" t="s">
        <v>2200</v>
      </c>
      <c r="M334" t="s">
        <v>5030</v>
      </c>
    </row>
    <row r="335" spans="1:13" x14ac:dyDescent="0.3">
      <c r="A335" t="s">
        <v>204</v>
      </c>
      <c r="B335" t="s">
        <v>5031</v>
      </c>
      <c r="C335">
        <v>7498607</v>
      </c>
      <c r="D335">
        <v>101058783</v>
      </c>
      <c r="E335" t="s">
        <v>206</v>
      </c>
      <c r="G335" t="s">
        <v>2198</v>
      </c>
      <c r="H335" t="s">
        <v>5032</v>
      </c>
      <c r="I335" t="s">
        <v>5033</v>
      </c>
      <c r="M335" t="s">
        <v>5034</v>
      </c>
    </row>
    <row r="336" spans="1:13" x14ac:dyDescent="0.3">
      <c r="A336" t="s">
        <v>208</v>
      </c>
      <c r="B336" t="s">
        <v>5031</v>
      </c>
      <c r="C336">
        <v>7498607</v>
      </c>
      <c r="D336">
        <v>101058782</v>
      </c>
      <c r="E336" t="s">
        <v>209</v>
      </c>
      <c r="G336" t="s">
        <v>2198</v>
      </c>
      <c r="H336" t="s">
        <v>5035</v>
      </c>
      <c r="I336" t="s">
        <v>5036</v>
      </c>
      <c r="M336" t="s">
        <v>5034</v>
      </c>
    </row>
    <row r="337" spans="1:13" x14ac:dyDescent="0.3">
      <c r="A337" t="s">
        <v>210</v>
      </c>
      <c r="B337" t="s">
        <v>5031</v>
      </c>
      <c r="C337">
        <v>7498607</v>
      </c>
      <c r="D337">
        <v>101058769</v>
      </c>
      <c r="E337" t="s">
        <v>211</v>
      </c>
      <c r="G337" t="s">
        <v>2198</v>
      </c>
      <c r="H337" t="s">
        <v>1089</v>
      </c>
      <c r="I337" t="s">
        <v>5037</v>
      </c>
      <c r="M337" t="s">
        <v>5034</v>
      </c>
    </row>
    <row r="338" spans="1:13" x14ac:dyDescent="0.3">
      <c r="A338" t="s">
        <v>212</v>
      </c>
      <c r="B338" t="s">
        <v>5031</v>
      </c>
      <c r="C338">
        <v>7498607</v>
      </c>
      <c r="D338">
        <v>101058790</v>
      </c>
      <c r="E338" t="s">
        <v>213</v>
      </c>
      <c r="G338" t="s">
        <v>2198</v>
      </c>
      <c r="H338" t="s">
        <v>2556</v>
      </c>
      <c r="I338" t="s">
        <v>5038</v>
      </c>
      <c r="M338" t="s">
        <v>5034</v>
      </c>
    </row>
    <row r="339" spans="1:13" x14ac:dyDescent="0.3">
      <c r="A339" t="s">
        <v>2158</v>
      </c>
      <c r="B339" t="s">
        <v>2490</v>
      </c>
      <c r="C339">
        <v>7498609</v>
      </c>
      <c r="D339">
        <v>120171992</v>
      </c>
      <c r="E339" t="s">
        <v>2491</v>
      </c>
      <c r="G339" t="s">
        <v>2198</v>
      </c>
      <c r="H339" t="s">
        <v>2492</v>
      </c>
      <c r="I339" t="s">
        <v>2493</v>
      </c>
      <c r="J339" t="s">
        <v>2200</v>
      </c>
    </row>
    <row r="340" spans="1:13" x14ac:dyDescent="0.3">
      <c r="A340" t="s">
        <v>2157</v>
      </c>
      <c r="B340" t="s">
        <v>2490</v>
      </c>
      <c r="C340">
        <v>7498609</v>
      </c>
      <c r="D340">
        <v>101058735</v>
      </c>
      <c r="G340" t="s">
        <v>2198</v>
      </c>
      <c r="H340" t="s">
        <v>2259</v>
      </c>
      <c r="I340" t="s">
        <v>2494</v>
      </c>
      <c r="M340" t="s">
        <v>2495</v>
      </c>
    </row>
    <row r="341" spans="1:13" x14ac:dyDescent="0.3">
      <c r="A341" t="s">
        <v>2157</v>
      </c>
      <c r="B341" t="s">
        <v>2490</v>
      </c>
      <c r="C341">
        <v>7498609</v>
      </c>
      <c r="D341">
        <v>120171991</v>
      </c>
      <c r="E341" t="s">
        <v>2496</v>
      </c>
      <c r="G341" t="s">
        <v>2198</v>
      </c>
      <c r="H341" t="s">
        <v>2259</v>
      </c>
      <c r="I341" t="s">
        <v>2494</v>
      </c>
      <c r="J341" t="s">
        <v>2200</v>
      </c>
    </row>
    <row r="342" spans="1:13" x14ac:dyDescent="0.3">
      <c r="A342" t="s">
        <v>2156</v>
      </c>
      <c r="B342" t="s">
        <v>2490</v>
      </c>
      <c r="C342">
        <v>7498609</v>
      </c>
      <c r="D342">
        <v>120171990</v>
      </c>
      <c r="E342" t="s">
        <v>2497</v>
      </c>
      <c r="G342" t="s">
        <v>2198</v>
      </c>
      <c r="H342" t="s">
        <v>1097</v>
      </c>
      <c r="I342" t="s">
        <v>2498</v>
      </c>
      <c r="J342" t="s">
        <v>2200</v>
      </c>
    </row>
    <row r="343" spans="1:13" x14ac:dyDescent="0.3">
      <c r="A343" t="s">
        <v>2159</v>
      </c>
      <c r="B343" t="s">
        <v>2490</v>
      </c>
      <c r="C343">
        <v>7498609</v>
      </c>
      <c r="D343">
        <v>120171993</v>
      </c>
      <c r="E343" t="s">
        <v>2499</v>
      </c>
      <c r="G343" t="s">
        <v>2198</v>
      </c>
      <c r="H343" t="s">
        <v>2382</v>
      </c>
      <c r="I343" t="s">
        <v>2500</v>
      </c>
      <c r="J343" t="s">
        <v>2200</v>
      </c>
    </row>
    <row r="344" spans="1:13" x14ac:dyDescent="0.3">
      <c r="A344" t="s">
        <v>2151</v>
      </c>
      <c r="B344" t="s">
        <v>215</v>
      </c>
      <c r="C344">
        <v>7498610</v>
      </c>
      <c r="D344">
        <v>120171985</v>
      </c>
      <c r="E344" t="s">
        <v>2501</v>
      </c>
      <c r="G344" t="s">
        <v>2198</v>
      </c>
      <c r="H344" t="s">
        <v>2502</v>
      </c>
      <c r="I344" t="s">
        <v>2503</v>
      </c>
      <c r="J344" t="s">
        <v>2200</v>
      </c>
    </row>
    <row r="345" spans="1:13" x14ac:dyDescent="0.3">
      <c r="A345" t="s">
        <v>2504</v>
      </c>
      <c r="B345" t="s">
        <v>215</v>
      </c>
      <c r="C345">
        <v>7498610</v>
      </c>
      <c r="D345">
        <v>120171987</v>
      </c>
      <c r="E345" t="s">
        <v>2505</v>
      </c>
      <c r="G345" t="s">
        <v>2198</v>
      </c>
      <c r="H345" t="s">
        <v>2506</v>
      </c>
      <c r="I345" t="s">
        <v>2507</v>
      </c>
      <c r="J345" t="s">
        <v>2200</v>
      </c>
    </row>
    <row r="346" spans="1:13" x14ac:dyDescent="0.3">
      <c r="A346" t="s">
        <v>2152</v>
      </c>
      <c r="B346" t="s">
        <v>215</v>
      </c>
      <c r="C346">
        <v>7498610</v>
      </c>
      <c r="D346">
        <v>120171986</v>
      </c>
      <c r="E346" t="s">
        <v>2508</v>
      </c>
      <c r="G346" t="s">
        <v>2198</v>
      </c>
      <c r="H346" t="s">
        <v>1184</v>
      </c>
      <c r="I346" t="s">
        <v>2509</v>
      </c>
      <c r="J346" t="s">
        <v>2200</v>
      </c>
    </row>
    <row r="347" spans="1:13" x14ac:dyDescent="0.3">
      <c r="A347" t="s">
        <v>214</v>
      </c>
      <c r="B347" t="s">
        <v>215</v>
      </c>
      <c r="C347">
        <v>7498610</v>
      </c>
      <c r="D347">
        <v>101059054</v>
      </c>
      <c r="E347" t="s">
        <v>216</v>
      </c>
      <c r="G347" t="s">
        <v>2386</v>
      </c>
      <c r="H347" t="s">
        <v>2510</v>
      </c>
      <c r="I347" t="s">
        <v>2511</v>
      </c>
      <c r="M347" t="s">
        <v>2512</v>
      </c>
    </row>
    <row r="348" spans="1:13" x14ac:dyDescent="0.3">
      <c r="A348" t="s">
        <v>217</v>
      </c>
      <c r="B348" t="s">
        <v>215</v>
      </c>
      <c r="C348">
        <v>7498610</v>
      </c>
      <c r="D348">
        <v>101059052</v>
      </c>
      <c r="E348" t="s">
        <v>218</v>
      </c>
      <c r="G348" t="s">
        <v>2198</v>
      </c>
      <c r="H348" t="s">
        <v>2513</v>
      </c>
      <c r="I348" t="s">
        <v>2514</v>
      </c>
      <c r="M348" t="s">
        <v>2512</v>
      </c>
    </row>
    <row r="349" spans="1:13" x14ac:dyDescent="0.3">
      <c r="A349" t="s">
        <v>219</v>
      </c>
      <c r="B349" t="s">
        <v>215</v>
      </c>
      <c r="C349">
        <v>7498610</v>
      </c>
      <c r="D349">
        <v>101059062</v>
      </c>
      <c r="E349" t="s">
        <v>220</v>
      </c>
      <c r="G349" t="s">
        <v>2198</v>
      </c>
      <c r="H349" t="s">
        <v>2515</v>
      </c>
      <c r="I349" t="s">
        <v>2516</v>
      </c>
      <c r="M349" t="s">
        <v>2512</v>
      </c>
    </row>
    <row r="350" spans="1:13" x14ac:dyDescent="0.3">
      <c r="A350" t="s">
        <v>2517</v>
      </c>
      <c r="B350" t="s">
        <v>215</v>
      </c>
      <c r="C350">
        <v>7498610</v>
      </c>
      <c r="D350">
        <v>101079761</v>
      </c>
      <c r="E350" t="s">
        <v>2518</v>
      </c>
      <c r="G350" t="s">
        <v>2198</v>
      </c>
      <c r="H350" t="s">
        <v>1259</v>
      </c>
      <c r="I350" t="s">
        <v>2519</v>
      </c>
      <c r="M350" t="s">
        <v>2512</v>
      </c>
    </row>
    <row r="351" spans="1:13" x14ac:dyDescent="0.3">
      <c r="A351" t="s">
        <v>240</v>
      </c>
      <c r="B351" t="s">
        <v>241</v>
      </c>
      <c r="C351">
        <v>7498612</v>
      </c>
      <c r="D351">
        <v>101059046</v>
      </c>
      <c r="E351" t="s">
        <v>242</v>
      </c>
      <c r="G351" t="s">
        <v>2198</v>
      </c>
      <c r="H351" t="s">
        <v>1178</v>
      </c>
      <c r="I351" t="s">
        <v>5039</v>
      </c>
      <c r="M351" t="s">
        <v>5040</v>
      </c>
    </row>
    <row r="352" spans="1:13" x14ac:dyDescent="0.3">
      <c r="A352" t="s">
        <v>244</v>
      </c>
      <c r="B352" t="s">
        <v>241</v>
      </c>
      <c r="C352">
        <v>7498612</v>
      </c>
      <c r="D352">
        <v>101059051</v>
      </c>
      <c r="E352" t="s">
        <v>245</v>
      </c>
      <c r="G352" t="s">
        <v>2386</v>
      </c>
      <c r="H352" t="s">
        <v>5041</v>
      </c>
      <c r="I352" t="s">
        <v>1206</v>
      </c>
      <c r="M352" t="s">
        <v>5040</v>
      </c>
    </row>
    <row r="353" spans="1:13" x14ac:dyDescent="0.3">
      <c r="A353" t="s">
        <v>246</v>
      </c>
      <c r="B353" t="s">
        <v>247</v>
      </c>
      <c r="C353">
        <v>7498613</v>
      </c>
      <c r="D353">
        <v>101058779</v>
      </c>
      <c r="E353" t="s">
        <v>248</v>
      </c>
      <c r="G353" t="s">
        <v>2198</v>
      </c>
      <c r="H353" t="s">
        <v>2520</v>
      </c>
      <c r="I353" t="s">
        <v>2521</v>
      </c>
      <c r="M353" t="s">
        <v>2522</v>
      </c>
    </row>
    <row r="354" spans="1:13" x14ac:dyDescent="0.3">
      <c r="A354" t="s">
        <v>250</v>
      </c>
      <c r="B354" t="s">
        <v>247</v>
      </c>
      <c r="C354">
        <v>7498613</v>
      </c>
      <c r="D354">
        <v>101058785</v>
      </c>
      <c r="E354" t="s">
        <v>251</v>
      </c>
      <c r="G354" t="s">
        <v>2198</v>
      </c>
      <c r="H354" t="s">
        <v>2523</v>
      </c>
      <c r="I354" t="s">
        <v>2524</v>
      </c>
      <c r="M354" t="s">
        <v>2522</v>
      </c>
    </row>
    <row r="355" spans="1:13" x14ac:dyDescent="0.3">
      <c r="A355" t="s">
        <v>2525</v>
      </c>
      <c r="B355" t="s">
        <v>247</v>
      </c>
      <c r="C355">
        <v>7498613</v>
      </c>
      <c r="D355">
        <v>120171975</v>
      </c>
      <c r="E355" t="s">
        <v>2526</v>
      </c>
      <c r="G355" t="s">
        <v>2198</v>
      </c>
      <c r="H355" t="s">
        <v>2498</v>
      </c>
      <c r="I355" t="s">
        <v>2527</v>
      </c>
      <c r="J355" t="s">
        <v>2200</v>
      </c>
    </row>
    <row r="356" spans="1:13" x14ac:dyDescent="0.3">
      <c r="A356" t="s">
        <v>252</v>
      </c>
      <c r="B356" t="s">
        <v>247</v>
      </c>
      <c r="C356">
        <v>7498613</v>
      </c>
      <c r="D356">
        <v>101058792</v>
      </c>
      <c r="E356" t="s">
        <v>253</v>
      </c>
      <c r="G356" t="s">
        <v>2198</v>
      </c>
      <c r="H356" t="s">
        <v>1226</v>
      </c>
      <c r="I356" t="s">
        <v>2528</v>
      </c>
      <c r="M356" t="s">
        <v>2522</v>
      </c>
    </row>
    <row r="357" spans="1:13" x14ac:dyDescent="0.3">
      <c r="A357" t="s">
        <v>2141</v>
      </c>
      <c r="B357" t="s">
        <v>247</v>
      </c>
      <c r="C357">
        <v>7498613</v>
      </c>
      <c r="D357">
        <v>120171974</v>
      </c>
      <c r="E357" t="s">
        <v>2529</v>
      </c>
      <c r="G357" t="s">
        <v>2198</v>
      </c>
      <c r="H357" t="s">
        <v>1113</v>
      </c>
      <c r="I357" t="s">
        <v>2530</v>
      </c>
      <c r="J357" t="s">
        <v>2200</v>
      </c>
    </row>
    <row r="358" spans="1:13" x14ac:dyDescent="0.3">
      <c r="A358" t="s">
        <v>2531</v>
      </c>
      <c r="B358" t="s">
        <v>2139</v>
      </c>
      <c r="C358">
        <v>7498614</v>
      </c>
      <c r="D358">
        <v>101058786</v>
      </c>
      <c r="E358" t="s">
        <v>2532</v>
      </c>
      <c r="G358" t="s">
        <v>2198</v>
      </c>
      <c r="H358" t="s">
        <v>1113</v>
      </c>
      <c r="I358" t="s">
        <v>2533</v>
      </c>
      <c r="M358" t="s">
        <v>2534</v>
      </c>
    </row>
    <row r="359" spans="1:13" x14ac:dyDescent="0.3">
      <c r="A359" t="s">
        <v>2140</v>
      </c>
      <c r="B359" t="s">
        <v>2139</v>
      </c>
      <c r="C359">
        <v>7498614</v>
      </c>
      <c r="D359">
        <v>120171973</v>
      </c>
      <c r="E359" t="s">
        <v>2535</v>
      </c>
      <c r="G359" t="s">
        <v>2198</v>
      </c>
      <c r="H359" t="s">
        <v>1129</v>
      </c>
      <c r="I359" t="s">
        <v>2536</v>
      </c>
      <c r="J359" t="s">
        <v>2200</v>
      </c>
    </row>
    <row r="360" spans="1:13" x14ac:dyDescent="0.3">
      <c r="A360" t="s">
        <v>2138</v>
      </c>
      <c r="B360" t="s">
        <v>2139</v>
      </c>
      <c r="C360">
        <v>7498614</v>
      </c>
      <c r="D360">
        <v>120171971</v>
      </c>
      <c r="E360" t="s">
        <v>2537</v>
      </c>
      <c r="G360" t="s">
        <v>2198</v>
      </c>
      <c r="H360" t="s">
        <v>1162</v>
      </c>
      <c r="I360" t="s">
        <v>2538</v>
      </c>
      <c r="J360" t="s">
        <v>2200</v>
      </c>
    </row>
    <row r="361" spans="1:13" x14ac:dyDescent="0.3">
      <c r="A361" t="s">
        <v>2539</v>
      </c>
      <c r="B361" t="s">
        <v>2139</v>
      </c>
      <c r="C361">
        <v>7498614</v>
      </c>
      <c r="D361">
        <v>120171972</v>
      </c>
      <c r="E361" t="s">
        <v>2540</v>
      </c>
      <c r="G361" t="s">
        <v>2198</v>
      </c>
      <c r="H361" t="s">
        <v>2541</v>
      </c>
      <c r="I361" t="s">
        <v>2407</v>
      </c>
      <c r="J361" t="s">
        <v>2200</v>
      </c>
    </row>
    <row r="362" spans="1:13" x14ac:dyDescent="0.3">
      <c r="A362" t="s">
        <v>2542</v>
      </c>
      <c r="B362" t="s">
        <v>2105</v>
      </c>
      <c r="C362">
        <v>7498617</v>
      </c>
      <c r="D362">
        <v>120171894</v>
      </c>
      <c r="E362" t="s">
        <v>2543</v>
      </c>
      <c r="G362" t="s">
        <v>2198</v>
      </c>
      <c r="H362" t="s">
        <v>1141</v>
      </c>
      <c r="I362" t="s">
        <v>2544</v>
      </c>
      <c r="J362" t="s">
        <v>2200</v>
      </c>
    </row>
    <row r="363" spans="1:13" x14ac:dyDescent="0.3">
      <c r="A363" t="s">
        <v>266</v>
      </c>
      <c r="B363" t="s">
        <v>2105</v>
      </c>
      <c r="C363">
        <v>7498617</v>
      </c>
      <c r="D363">
        <v>101059039</v>
      </c>
      <c r="E363" t="s">
        <v>268</v>
      </c>
      <c r="G363" t="s">
        <v>2198</v>
      </c>
      <c r="H363" t="s">
        <v>2545</v>
      </c>
      <c r="I363" t="s">
        <v>2424</v>
      </c>
      <c r="M363" t="s">
        <v>2546</v>
      </c>
    </row>
    <row r="364" spans="1:13" x14ac:dyDescent="0.3">
      <c r="A364" t="s">
        <v>1988</v>
      </c>
      <c r="B364" t="s">
        <v>2087</v>
      </c>
      <c r="C364">
        <v>532861</v>
      </c>
      <c r="D364">
        <v>100315017</v>
      </c>
      <c r="E364" t="s">
        <v>1989</v>
      </c>
      <c r="F364" t="s">
        <v>2088</v>
      </c>
      <c r="G364" t="s">
        <v>2198</v>
      </c>
      <c r="H364" t="s">
        <v>1355</v>
      </c>
      <c r="I364" t="s">
        <v>4604</v>
      </c>
      <c r="J364" t="s">
        <v>2901</v>
      </c>
      <c r="M364" t="s">
        <v>4605</v>
      </c>
    </row>
    <row r="365" spans="1:13" x14ac:dyDescent="0.3">
      <c r="A365" t="s">
        <v>2089</v>
      </c>
      <c r="B365" t="s">
        <v>2087</v>
      </c>
      <c r="C365">
        <v>532861</v>
      </c>
      <c r="D365">
        <v>100315015</v>
      </c>
      <c r="E365" t="s">
        <v>2090</v>
      </c>
      <c r="F365" t="s">
        <v>2091</v>
      </c>
      <c r="G365" t="s">
        <v>2198</v>
      </c>
      <c r="H365" t="s">
        <v>2259</v>
      </c>
      <c r="I365" t="s">
        <v>4606</v>
      </c>
      <c r="J365" t="s">
        <v>2898</v>
      </c>
      <c r="M365" t="s">
        <v>4607</v>
      </c>
    </row>
    <row r="366" spans="1:13" x14ac:dyDescent="0.3">
      <c r="A366" t="s">
        <v>2092</v>
      </c>
      <c r="B366" t="s">
        <v>2087</v>
      </c>
      <c r="C366">
        <v>532861</v>
      </c>
      <c r="D366">
        <v>100315013</v>
      </c>
      <c r="E366" t="s">
        <v>2093</v>
      </c>
      <c r="F366" t="s">
        <v>2094</v>
      </c>
      <c r="G366" t="s">
        <v>2198</v>
      </c>
      <c r="H366" t="s">
        <v>2382</v>
      </c>
      <c r="I366" t="s">
        <v>4608</v>
      </c>
      <c r="L366" t="s">
        <v>4609</v>
      </c>
      <c r="M366" t="s">
        <v>4610</v>
      </c>
    </row>
    <row r="367" spans="1:13" x14ac:dyDescent="0.3">
      <c r="A367" t="s">
        <v>23</v>
      </c>
      <c r="B367" t="s">
        <v>2087</v>
      </c>
      <c r="C367">
        <v>532861</v>
      </c>
      <c r="D367">
        <v>120045211</v>
      </c>
      <c r="G367" t="s">
        <v>2198</v>
      </c>
      <c r="H367" t="s">
        <v>1157</v>
      </c>
      <c r="I367" t="s">
        <v>2225</v>
      </c>
      <c r="L367" t="s">
        <v>4611</v>
      </c>
    </row>
    <row r="368" spans="1:13" x14ac:dyDescent="0.3">
      <c r="A368" t="s">
        <v>2095</v>
      </c>
      <c r="B368" t="s">
        <v>2087</v>
      </c>
      <c r="C368">
        <v>532861</v>
      </c>
      <c r="D368">
        <v>120045212</v>
      </c>
      <c r="G368" t="s">
        <v>2198</v>
      </c>
      <c r="H368" t="s">
        <v>1091</v>
      </c>
      <c r="I368" t="s">
        <v>4612</v>
      </c>
    </row>
    <row r="369" spans="1:13" x14ac:dyDescent="0.3">
      <c r="A369" t="s">
        <v>1985</v>
      </c>
      <c r="B369" t="s">
        <v>2087</v>
      </c>
      <c r="C369">
        <v>532861</v>
      </c>
      <c r="D369">
        <v>120171843</v>
      </c>
      <c r="E369" t="s">
        <v>2104</v>
      </c>
      <c r="G369" t="s">
        <v>2198</v>
      </c>
      <c r="H369" t="s">
        <v>1113</v>
      </c>
      <c r="I369" t="s">
        <v>2912</v>
      </c>
      <c r="J369" t="s">
        <v>2200</v>
      </c>
    </row>
    <row r="370" spans="1:13" x14ac:dyDescent="0.3">
      <c r="A370" t="s">
        <v>2096</v>
      </c>
      <c r="B370" t="s">
        <v>2087</v>
      </c>
      <c r="C370">
        <v>532861</v>
      </c>
      <c r="D370">
        <v>100315019</v>
      </c>
      <c r="E370" t="s">
        <v>2097</v>
      </c>
      <c r="G370" t="s">
        <v>2386</v>
      </c>
      <c r="H370" t="s">
        <v>4613</v>
      </c>
      <c r="I370" t="s">
        <v>4614</v>
      </c>
      <c r="J370" t="s">
        <v>2343</v>
      </c>
      <c r="K370" t="s">
        <v>4197</v>
      </c>
      <c r="M370" t="s">
        <v>4605</v>
      </c>
    </row>
    <row r="371" spans="1:13" x14ac:dyDescent="0.3">
      <c r="A371" t="s">
        <v>2098</v>
      </c>
      <c r="B371" t="s">
        <v>2087</v>
      </c>
      <c r="C371">
        <v>532861</v>
      </c>
      <c r="D371">
        <v>100315014</v>
      </c>
      <c r="E371" t="s">
        <v>2099</v>
      </c>
      <c r="G371" t="s">
        <v>2386</v>
      </c>
      <c r="H371" t="s">
        <v>3050</v>
      </c>
      <c r="I371" t="s">
        <v>4615</v>
      </c>
    </row>
    <row r="372" spans="1:13" x14ac:dyDescent="0.3">
      <c r="A372" t="s">
        <v>2100</v>
      </c>
      <c r="B372" t="s">
        <v>2087</v>
      </c>
      <c r="C372">
        <v>532861</v>
      </c>
      <c r="D372">
        <v>100315020</v>
      </c>
      <c r="E372" t="s">
        <v>2101</v>
      </c>
      <c r="F372" t="s">
        <v>2102</v>
      </c>
      <c r="G372" t="s">
        <v>2198</v>
      </c>
      <c r="H372" t="s">
        <v>4616</v>
      </c>
      <c r="I372" t="s">
        <v>4617</v>
      </c>
      <c r="J372" t="s">
        <v>4618</v>
      </c>
      <c r="M372" t="s">
        <v>4605</v>
      </c>
    </row>
    <row r="373" spans="1:13" x14ac:dyDescent="0.3">
      <c r="A373" t="s">
        <v>5042</v>
      </c>
      <c r="B373" t="s">
        <v>5043</v>
      </c>
      <c r="C373">
        <v>522371</v>
      </c>
      <c r="D373">
        <v>100311363</v>
      </c>
      <c r="E373" t="s">
        <v>5044</v>
      </c>
      <c r="F373" t="s">
        <v>5045</v>
      </c>
      <c r="G373" t="s">
        <v>2198</v>
      </c>
      <c r="H373" t="s">
        <v>2347</v>
      </c>
      <c r="I373" t="s">
        <v>5046</v>
      </c>
      <c r="K373" t="s">
        <v>4118</v>
      </c>
      <c r="L373" t="s">
        <v>5047</v>
      </c>
      <c r="M373" t="s">
        <v>5048</v>
      </c>
    </row>
    <row r="374" spans="1:13" x14ac:dyDescent="0.3">
      <c r="A374" t="s">
        <v>5049</v>
      </c>
      <c r="B374" t="s">
        <v>5043</v>
      </c>
      <c r="C374">
        <v>522371</v>
      </c>
      <c r="D374">
        <v>100311361</v>
      </c>
      <c r="E374" t="s">
        <v>5050</v>
      </c>
      <c r="F374" t="s">
        <v>5051</v>
      </c>
      <c r="G374" t="s">
        <v>2198</v>
      </c>
      <c r="H374" t="s">
        <v>1162</v>
      </c>
      <c r="I374" t="s">
        <v>4240</v>
      </c>
      <c r="K374" t="s">
        <v>4118</v>
      </c>
      <c r="L374" t="s">
        <v>5052</v>
      </c>
      <c r="M374" t="s">
        <v>5048</v>
      </c>
    </row>
    <row r="375" spans="1:13" x14ac:dyDescent="0.3">
      <c r="A375" t="s">
        <v>5053</v>
      </c>
      <c r="B375" t="s">
        <v>5043</v>
      </c>
      <c r="C375">
        <v>522371</v>
      </c>
      <c r="D375">
        <v>100311372</v>
      </c>
      <c r="E375" t="s">
        <v>5054</v>
      </c>
      <c r="G375" t="s">
        <v>2198</v>
      </c>
      <c r="H375" t="s">
        <v>2848</v>
      </c>
      <c r="I375" t="s">
        <v>5055</v>
      </c>
      <c r="K375" t="s">
        <v>4118</v>
      </c>
      <c r="L375" t="s">
        <v>2432</v>
      </c>
      <c r="M375" t="s">
        <v>5048</v>
      </c>
    </row>
    <row r="376" spans="1:13" x14ac:dyDescent="0.3">
      <c r="A376" t="s">
        <v>5056</v>
      </c>
      <c r="B376" t="s">
        <v>5043</v>
      </c>
      <c r="C376">
        <v>522371</v>
      </c>
      <c r="D376">
        <v>100311366</v>
      </c>
      <c r="E376" t="s">
        <v>5057</v>
      </c>
      <c r="F376" t="s">
        <v>5058</v>
      </c>
      <c r="G376" t="s">
        <v>2198</v>
      </c>
      <c r="H376" t="s">
        <v>2382</v>
      </c>
      <c r="I376" t="s">
        <v>5059</v>
      </c>
      <c r="K376" t="s">
        <v>4118</v>
      </c>
      <c r="L376" t="s">
        <v>2481</v>
      </c>
      <c r="M376" t="s">
        <v>5048</v>
      </c>
    </row>
    <row r="377" spans="1:13" x14ac:dyDescent="0.3">
      <c r="A377" t="s">
        <v>77</v>
      </c>
      <c r="B377" t="s">
        <v>5043</v>
      </c>
      <c r="C377">
        <v>522371</v>
      </c>
      <c r="D377">
        <v>101029217</v>
      </c>
      <c r="E377" t="s">
        <v>5060</v>
      </c>
      <c r="G377" t="s">
        <v>2198</v>
      </c>
      <c r="H377" t="s">
        <v>3226</v>
      </c>
      <c r="I377" t="s">
        <v>2260</v>
      </c>
      <c r="M377" t="s">
        <v>5048</v>
      </c>
    </row>
    <row r="378" spans="1:13" x14ac:dyDescent="0.3">
      <c r="A378" t="s">
        <v>5061</v>
      </c>
      <c r="B378" t="s">
        <v>5043</v>
      </c>
      <c r="C378">
        <v>522371</v>
      </c>
      <c r="D378">
        <v>100311371</v>
      </c>
      <c r="E378" t="s">
        <v>5062</v>
      </c>
      <c r="F378" t="s">
        <v>5051</v>
      </c>
      <c r="G378" t="s">
        <v>2198</v>
      </c>
      <c r="H378" t="s">
        <v>1228</v>
      </c>
      <c r="I378" t="s">
        <v>5063</v>
      </c>
      <c r="K378" t="s">
        <v>4118</v>
      </c>
      <c r="L378" t="s">
        <v>2481</v>
      </c>
      <c r="M378" t="s">
        <v>5048</v>
      </c>
    </row>
    <row r="379" spans="1:13" x14ac:dyDescent="0.3">
      <c r="A379" t="s">
        <v>5064</v>
      </c>
      <c r="B379" t="s">
        <v>5043</v>
      </c>
      <c r="C379">
        <v>522371</v>
      </c>
      <c r="D379">
        <v>100311373</v>
      </c>
      <c r="E379" t="s">
        <v>5065</v>
      </c>
      <c r="G379" t="s">
        <v>2198</v>
      </c>
      <c r="H379" t="s">
        <v>1238</v>
      </c>
      <c r="I379" t="s">
        <v>5066</v>
      </c>
      <c r="K379" t="s">
        <v>4118</v>
      </c>
      <c r="L379" t="s">
        <v>4031</v>
      </c>
      <c r="M379" t="s">
        <v>5067</v>
      </c>
    </row>
    <row r="380" spans="1:13" x14ac:dyDescent="0.3">
      <c r="A380" t="s">
        <v>5068</v>
      </c>
      <c r="B380" t="s">
        <v>5043</v>
      </c>
      <c r="C380">
        <v>522371</v>
      </c>
      <c r="D380">
        <v>100311370</v>
      </c>
      <c r="E380" t="s">
        <v>5069</v>
      </c>
      <c r="F380" t="s">
        <v>5070</v>
      </c>
      <c r="G380" t="s">
        <v>2198</v>
      </c>
      <c r="H380" t="s">
        <v>1238</v>
      </c>
      <c r="I380" t="s">
        <v>5071</v>
      </c>
      <c r="K380" t="s">
        <v>4118</v>
      </c>
      <c r="L380" t="s">
        <v>2481</v>
      </c>
      <c r="M380" t="s">
        <v>5048</v>
      </c>
    </row>
    <row r="381" spans="1:13" x14ac:dyDescent="0.3">
      <c r="A381" t="s">
        <v>5072</v>
      </c>
      <c r="B381" t="s">
        <v>5043</v>
      </c>
      <c r="C381">
        <v>522371</v>
      </c>
      <c r="D381">
        <v>100311375</v>
      </c>
      <c r="E381" t="s">
        <v>5073</v>
      </c>
      <c r="G381" t="s">
        <v>2386</v>
      </c>
      <c r="H381" t="s">
        <v>5074</v>
      </c>
      <c r="I381" t="s">
        <v>5075</v>
      </c>
      <c r="K381" t="s">
        <v>2343</v>
      </c>
      <c r="M381" t="s">
        <v>5076</v>
      </c>
    </row>
    <row r="382" spans="1:13" x14ac:dyDescent="0.3">
      <c r="A382" t="s">
        <v>5077</v>
      </c>
      <c r="B382" t="s">
        <v>5043</v>
      </c>
      <c r="C382">
        <v>522371</v>
      </c>
      <c r="D382">
        <v>100311364</v>
      </c>
      <c r="E382" t="s">
        <v>5078</v>
      </c>
      <c r="G382" t="s">
        <v>2198</v>
      </c>
      <c r="H382" t="s">
        <v>1095</v>
      </c>
      <c r="I382" t="s">
        <v>5079</v>
      </c>
      <c r="K382" t="s">
        <v>4118</v>
      </c>
      <c r="L382" t="s">
        <v>4395</v>
      </c>
      <c r="M382" t="s">
        <v>5048</v>
      </c>
    </row>
    <row r="383" spans="1:13" x14ac:dyDescent="0.3">
      <c r="A383" t="s">
        <v>5080</v>
      </c>
      <c r="B383" t="s">
        <v>5043</v>
      </c>
      <c r="C383">
        <v>522371</v>
      </c>
      <c r="D383">
        <v>100311362</v>
      </c>
      <c r="E383" t="s">
        <v>5081</v>
      </c>
      <c r="F383" t="s">
        <v>5051</v>
      </c>
      <c r="G383" t="s">
        <v>2198</v>
      </c>
      <c r="H383" t="s">
        <v>5082</v>
      </c>
      <c r="I383" t="s">
        <v>1103</v>
      </c>
      <c r="K383" t="s">
        <v>4118</v>
      </c>
      <c r="L383" t="s">
        <v>2343</v>
      </c>
      <c r="M383" t="s">
        <v>5048</v>
      </c>
    </row>
    <row r="384" spans="1:13" x14ac:dyDescent="0.3">
      <c r="A384" t="s">
        <v>5083</v>
      </c>
      <c r="B384" t="s">
        <v>5043</v>
      </c>
      <c r="C384">
        <v>522371</v>
      </c>
      <c r="D384">
        <v>100311365</v>
      </c>
      <c r="E384" t="s">
        <v>5084</v>
      </c>
      <c r="G384" t="s">
        <v>2198</v>
      </c>
      <c r="H384" t="s">
        <v>5074</v>
      </c>
      <c r="I384" t="s">
        <v>2407</v>
      </c>
      <c r="K384" t="s">
        <v>4118</v>
      </c>
      <c r="L384" t="s">
        <v>3986</v>
      </c>
      <c r="M384" t="s">
        <v>5067</v>
      </c>
    </row>
    <row r="385" spans="1:13" x14ac:dyDescent="0.3">
      <c r="A385" t="s">
        <v>5085</v>
      </c>
      <c r="B385" t="s">
        <v>5043</v>
      </c>
      <c r="C385">
        <v>522371</v>
      </c>
      <c r="D385">
        <v>100311367</v>
      </c>
      <c r="E385" t="s">
        <v>5086</v>
      </c>
      <c r="G385" t="s">
        <v>2198</v>
      </c>
      <c r="H385" t="s">
        <v>5087</v>
      </c>
      <c r="I385" t="s">
        <v>3313</v>
      </c>
      <c r="K385" t="s">
        <v>4118</v>
      </c>
      <c r="L385" t="s">
        <v>4074</v>
      </c>
      <c r="M385" t="s">
        <v>5048</v>
      </c>
    </row>
    <row r="386" spans="1:13" x14ac:dyDescent="0.3">
      <c r="A386" t="s">
        <v>5088</v>
      </c>
      <c r="B386" t="s">
        <v>5043</v>
      </c>
      <c r="C386">
        <v>522371</v>
      </c>
      <c r="D386">
        <v>100311374</v>
      </c>
      <c r="E386" t="s">
        <v>5089</v>
      </c>
      <c r="G386" t="s">
        <v>2198</v>
      </c>
      <c r="H386" t="s">
        <v>1360</v>
      </c>
      <c r="I386" t="s">
        <v>5090</v>
      </c>
      <c r="K386" t="s">
        <v>4118</v>
      </c>
      <c r="L386" t="s">
        <v>2481</v>
      </c>
      <c r="M386" t="s">
        <v>5048</v>
      </c>
    </row>
    <row r="387" spans="1:13" x14ac:dyDescent="0.3">
      <c r="A387" t="s">
        <v>75</v>
      </c>
      <c r="B387" t="s">
        <v>5043</v>
      </c>
      <c r="C387">
        <v>522371</v>
      </c>
      <c r="D387">
        <v>101029216</v>
      </c>
      <c r="E387" t="s">
        <v>5091</v>
      </c>
      <c r="G387" t="s">
        <v>2198</v>
      </c>
      <c r="H387" t="s">
        <v>4515</v>
      </c>
      <c r="I387" t="s">
        <v>1257</v>
      </c>
      <c r="M387" t="s">
        <v>5048</v>
      </c>
    </row>
    <row r="388" spans="1:13" x14ac:dyDescent="0.3">
      <c r="A388" t="s">
        <v>5092</v>
      </c>
      <c r="B388" t="s">
        <v>5043</v>
      </c>
      <c r="C388">
        <v>522371</v>
      </c>
      <c r="D388">
        <v>100311368</v>
      </c>
      <c r="E388" t="s">
        <v>5093</v>
      </c>
      <c r="F388" t="s">
        <v>5094</v>
      </c>
      <c r="G388" t="s">
        <v>2198</v>
      </c>
      <c r="H388" t="s">
        <v>5095</v>
      </c>
      <c r="I388" t="s">
        <v>1259</v>
      </c>
      <c r="K388" t="s">
        <v>4118</v>
      </c>
      <c r="L388" t="s">
        <v>4270</v>
      </c>
      <c r="M388" t="s">
        <v>5048</v>
      </c>
    </row>
    <row r="389" spans="1:13" x14ac:dyDescent="0.3">
      <c r="A389" t="s">
        <v>5096</v>
      </c>
      <c r="B389" t="s">
        <v>5043</v>
      </c>
      <c r="C389">
        <v>522371</v>
      </c>
      <c r="D389">
        <v>100311369</v>
      </c>
      <c r="G389" t="s">
        <v>2198</v>
      </c>
      <c r="H389" t="s">
        <v>5097</v>
      </c>
      <c r="I389" t="s">
        <v>5098</v>
      </c>
      <c r="K389" t="s">
        <v>4118</v>
      </c>
      <c r="L389" t="s">
        <v>2343</v>
      </c>
      <c r="M389" t="s">
        <v>5048</v>
      </c>
    </row>
    <row r="390" spans="1:13" x14ac:dyDescent="0.3">
      <c r="A390" t="s">
        <v>5099</v>
      </c>
      <c r="B390" t="s">
        <v>5043</v>
      </c>
      <c r="C390">
        <v>522371</v>
      </c>
      <c r="D390">
        <v>100311376</v>
      </c>
      <c r="E390" t="s">
        <v>5100</v>
      </c>
      <c r="F390" t="s">
        <v>5101</v>
      </c>
      <c r="G390" t="s">
        <v>2198</v>
      </c>
      <c r="H390" t="s">
        <v>1089</v>
      </c>
      <c r="I390" t="s">
        <v>2905</v>
      </c>
      <c r="K390" t="s">
        <v>2431</v>
      </c>
      <c r="M390" t="s">
        <v>5048</v>
      </c>
    </row>
    <row r="391" spans="1:13" x14ac:dyDescent="0.3">
      <c r="A391" t="s">
        <v>78</v>
      </c>
      <c r="B391" t="s">
        <v>5043</v>
      </c>
      <c r="C391">
        <v>522371</v>
      </c>
      <c r="D391">
        <v>101029218</v>
      </c>
      <c r="E391" t="s">
        <v>5102</v>
      </c>
      <c r="G391" t="s">
        <v>2198</v>
      </c>
      <c r="H391" t="s">
        <v>18</v>
      </c>
      <c r="I391" t="s">
        <v>5103</v>
      </c>
      <c r="M391" t="s">
        <v>5048</v>
      </c>
    </row>
    <row r="392" spans="1:13" x14ac:dyDescent="0.3">
      <c r="A392" t="s">
        <v>2161</v>
      </c>
      <c r="B392" t="s">
        <v>2196</v>
      </c>
      <c r="C392">
        <v>120171910</v>
      </c>
      <c r="D392">
        <v>120171995</v>
      </c>
      <c r="E392" t="s">
        <v>2197</v>
      </c>
      <c r="G392" t="s">
        <v>2198</v>
      </c>
      <c r="H392" t="s">
        <v>1161</v>
      </c>
      <c r="I392" t="s">
        <v>2199</v>
      </c>
      <c r="J392" t="s">
        <v>2200</v>
      </c>
    </row>
    <row r="393" spans="1:13" x14ac:dyDescent="0.3">
      <c r="A393" t="s">
        <v>2160</v>
      </c>
      <c r="B393" t="s">
        <v>2196</v>
      </c>
      <c r="C393">
        <v>120171910</v>
      </c>
      <c r="D393">
        <v>120171994</v>
      </c>
      <c r="E393" t="s">
        <v>2201</v>
      </c>
      <c r="G393" t="s">
        <v>2198</v>
      </c>
      <c r="H393" t="s">
        <v>1097</v>
      </c>
      <c r="I393" t="s">
        <v>2202</v>
      </c>
      <c r="J393" t="s">
        <v>2200</v>
      </c>
    </row>
    <row r="394" spans="1:13" x14ac:dyDescent="0.3">
      <c r="A394" t="s">
        <v>406</v>
      </c>
      <c r="B394" t="s">
        <v>407</v>
      </c>
      <c r="C394">
        <v>7439496</v>
      </c>
      <c r="D394">
        <v>100950981</v>
      </c>
      <c r="E394" t="s">
        <v>408</v>
      </c>
      <c r="G394" t="s">
        <v>2198</v>
      </c>
      <c r="H394" t="s">
        <v>1359</v>
      </c>
      <c r="I394" t="s">
        <v>1114</v>
      </c>
    </row>
    <row r="395" spans="1:13" x14ac:dyDescent="0.3">
      <c r="A395" t="s">
        <v>1994</v>
      </c>
      <c r="B395" t="s">
        <v>407</v>
      </c>
      <c r="C395">
        <v>7439496</v>
      </c>
      <c r="D395">
        <v>120171891</v>
      </c>
      <c r="E395" t="s">
        <v>5104</v>
      </c>
      <c r="F395" t="s">
        <v>5105</v>
      </c>
      <c r="G395" t="s">
        <v>2198</v>
      </c>
      <c r="H395" t="s">
        <v>2624</v>
      </c>
      <c r="I395" t="s">
        <v>5106</v>
      </c>
      <c r="J395" t="s">
        <v>2200</v>
      </c>
    </row>
    <row r="396" spans="1:13" x14ac:dyDescent="0.3">
      <c r="A396" t="s">
        <v>831</v>
      </c>
      <c r="B396" t="s">
        <v>407</v>
      </c>
      <c r="C396">
        <v>7439496</v>
      </c>
      <c r="D396">
        <v>101073913</v>
      </c>
      <c r="E396" t="s">
        <v>833</v>
      </c>
      <c r="F396" t="s">
        <v>5107</v>
      </c>
      <c r="G396" t="s">
        <v>2198</v>
      </c>
      <c r="H396" t="s">
        <v>1105</v>
      </c>
      <c r="I396" t="s">
        <v>1116</v>
      </c>
      <c r="J396" t="s">
        <v>2343</v>
      </c>
      <c r="M396" t="s">
        <v>5108</v>
      </c>
    </row>
    <row r="397" spans="1:13" x14ac:dyDescent="0.3">
      <c r="A397" t="s">
        <v>410</v>
      </c>
      <c r="B397" t="s">
        <v>407</v>
      </c>
      <c r="C397">
        <v>7439496</v>
      </c>
      <c r="D397">
        <v>100950979</v>
      </c>
      <c r="E397" t="s">
        <v>411</v>
      </c>
      <c r="G397" t="s">
        <v>2198</v>
      </c>
      <c r="H397" t="s">
        <v>1357</v>
      </c>
      <c r="I397" t="s">
        <v>5109</v>
      </c>
    </row>
    <row r="398" spans="1:13" x14ac:dyDescent="0.3">
      <c r="A398" t="s">
        <v>412</v>
      </c>
      <c r="B398" t="s">
        <v>407</v>
      </c>
      <c r="C398">
        <v>7439496</v>
      </c>
      <c r="D398">
        <v>101049679</v>
      </c>
      <c r="E398" t="s">
        <v>413</v>
      </c>
      <c r="F398" t="s">
        <v>5110</v>
      </c>
      <c r="G398" t="s">
        <v>2198</v>
      </c>
      <c r="H398" t="s">
        <v>1259</v>
      </c>
      <c r="I398" t="s">
        <v>5111</v>
      </c>
      <c r="J398" t="s">
        <v>2200</v>
      </c>
      <c r="K398" t="s">
        <v>3993</v>
      </c>
      <c r="M398" t="s">
        <v>5112</v>
      </c>
    </row>
    <row r="399" spans="1:13" x14ac:dyDescent="0.3">
      <c r="A399" t="s">
        <v>415</v>
      </c>
      <c r="B399" t="s">
        <v>407</v>
      </c>
      <c r="C399">
        <v>7439496</v>
      </c>
      <c r="D399">
        <v>100950984</v>
      </c>
      <c r="E399" t="s">
        <v>416</v>
      </c>
      <c r="G399" t="s">
        <v>2198</v>
      </c>
      <c r="H399" t="s">
        <v>1354</v>
      </c>
      <c r="I399" t="s">
        <v>5113</v>
      </c>
    </row>
    <row r="400" spans="1:13" x14ac:dyDescent="0.3">
      <c r="A400" t="s">
        <v>417</v>
      </c>
      <c r="B400" t="s">
        <v>407</v>
      </c>
      <c r="C400">
        <v>7439496</v>
      </c>
      <c r="D400">
        <v>100950977</v>
      </c>
      <c r="E400" t="s">
        <v>418</v>
      </c>
      <c r="G400" t="s">
        <v>2198</v>
      </c>
      <c r="H400" t="s">
        <v>1155</v>
      </c>
      <c r="I400" t="s">
        <v>5114</v>
      </c>
    </row>
    <row r="401" spans="1:13" x14ac:dyDescent="0.3">
      <c r="A401" t="s">
        <v>1066</v>
      </c>
      <c r="B401" t="s">
        <v>407</v>
      </c>
      <c r="C401">
        <v>7439496</v>
      </c>
      <c r="D401">
        <v>101107676</v>
      </c>
      <c r="E401" t="s">
        <v>5115</v>
      </c>
      <c r="G401" t="s">
        <v>2198</v>
      </c>
      <c r="H401" t="s">
        <v>1258</v>
      </c>
      <c r="I401" t="s">
        <v>5116</v>
      </c>
      <c r="J401" t="s">
        <v>2200</v>
      </c>
    </row>
    <row r="402" spans="1:13" x14ac:dyDescent="0.3">
      <c r="A402" t="s">
        <v>419</v>
      </c>
      <c r="B402" t="s">
        <v>407</v>
      </c>
      <c r="C402">
        <v>7439496</v>
      </c>
      <c r="D402">
        <v>100950965</v>
      </c>
      <c r="E402" t="s">
        <v>420</v>
      </c>
      <c r="G402" t="s">
        <v>2198</v>
      </c>
      <c r="H402" t="s">
        <v>1196</v>
      </c>
      <c r="I402" t="s">
        <v>5116</v>
      </c>
      <c r="M402" t="s">
        <v>5117</v>
      </c>
    </row>
    <row r="403" spans="1:13" x14ac:dyDescent="0.3">
      <c r="A403" t="s">
        <v>421</v>
      </c>
      <c r="B403" t="s">
        <v>407</v>
      </c>
      <c r="C403">
        <v>7439496</v>
      </c>
      <c r="D403">
        <v>100950983</v>
      </c>
      <c r="G403" t="s">
        <v>2198</v>
      </c>
      <c r="H403" t="s">
        <v>1361</v>
      </c>
      <c r="I403" t="s">
        <v>2514</v>
      </c>
    </row>
    <row r="404" spans="1:13" x14ac:dyDescent="0.3">
      <c r="A404" t="s">
        <v>422</v>
      </c>
      <c r="B404" t="s">
        <v>407</v>
      </c>
      <c r="C404">
        <v>7439496</v>
      </c>
      <c r="D404">
        <v>101049709</v>
      </c>
      <c r="E404" t="s">
        <v>423</v>
      </c>
      <c r="G404" t="s">
        <v>2198</v>
      </c>
      <c r="H404" t="s">
        <v>1355</v>
      </c>
      <c r="I404" t="s">
        <v>5118</v>
      </c>
      <c r="J404" t="s">
        <v>2200</v>
      </c>
      <c r="K404" t="s">
        <v>5119</v>
      </c>
      <c r="M404" t="s">
        <v>5120</v>
      </c>
    </row>
    <row r="405" spans="1:13" x14ac:dyDescent="0.3">
      <c r="A405" t="s">
        <v>424</v>
      </c>
      <c r="B405" t="s">
        <v>407</v>
      </c>
      <c r="C405">
        <v>7439496</v>
      </c>
      <c r="D405">
        <v>100950966</v>
      </c>
      <c r="E405" t="s">
        <v>425</v>
      </c>
      <c r="G405" t="s">
        <v>2198</v>
      </c>
      <c r="H405" t="s">
        <v>5121</v>
      </c>
      <c r="I405" t="s">
        <v>5122</v>
      </c>
      <c r="M405" t="s">
        <v>5123</v>
      </c>
    </row>
    <row r="406" spans="1:13" x14ac:dyDescent="0.3">
      <c r="A406" t="s">
        <v>426</v>
      </c>
      <c r="B406" t="s">
        <v>407</v>
      </c>
      <c r="C406">
        <v>7439496</v>
      </c>
      <c r="D406">
        <v>100950976</v>
      </c>
      <c r="E406" t="s">
        <v>427</v>
      </c>
      <c r="G406" t="s">
        <v>2198</v>
      </c>
      <c r="H406" t="s">
        <v>1169</v>
      </c>
      <c r="I406" t="s">
        <v>5124</v>
      </c>
    </row>
    <row r="407" spans="1:13" x14ac:dyDescent="0.3">
      <c r="A407" t="s">
        <v>428</v>
      </c>
      <c r="B407" t="s">
        <v>407</v>
      </c>
      <c r="C407">
        <v>7439496</v>
      </c>
      <c r="D407">
        <v>100950982</v>
      </c>
      <c r="E407" t="s">
        <v>429</v>
      </c>
      <c r="G407" t="s">
        <v>2198</v>
      </c>
      <c r="H407" t="s">
        <v>1360</v>
      </c>
      <c r="I407" t="s">
        <v>5125</v>
      </c>
    </row>
    <row r="408" spans="1:13" x14ac:dyDescent="0.3">
      <c r="A408" t="s">
        <v>430</v>
      </c>
      <c r="B408" t="s">
        <v>407</v>
      </c>
      <c r="C408">
        <v>7439496</v>
      </c>
      <c r="D408">
        <v>100950968</v>
      </c>
      <c r="E408" t="s">
        <v>431</v>
      </c>
      <c r="G408" t="s">
        <v>2198</v>
      </c>
      <c r="H408" t="s">
        <v>5126</v>
      </c>
      <c r="I408" t="s">
        <v>5127</v>
      </c>
    </row>
    <row r="409" spans="1:13" x14ac:dyDescent="0.3">
      <c r="A409" t="s">
        <v>432</v>
      </c>
      <c r="B409" t="s">
        <v>407</v>
      </c>
      <c r="C409">
        <v>7439496</v>
      </c>
      <c r="D409">
        <v>100950967</v>
      </c>
      <c r="E409" t="s">
        <v>433</v>
      </c>
      <c r="G409" t="s">
        <v>2198</v>
      </c>
      <c r="H409" t="s">
        <v>1133</v>
      </c>
      <c r="I409" t="s">
        <v>5128</v>
      </c>
    </row>
    <row r="410" spans="1:13" x14ac:dyDescent="0.3">
      <c r="A410" t="s">
        <v>434</v>
      </c>
      <c r="B410" t="s">
        <v>407</v>
      </c>
      <c r="C410">
        <v>7439496</v>
      </c>
      <c r="D410">
        <v>100950980</v>
      </c>
      <c r="E410" t="s">
        <v>435</v>
      </c>
      <c r="G410" t="s">
        <v>2198</v>
      </c>
      <c r="H410" t="s">
        <v>1358</v>
      </c>
      <c r="I410" t="s">
        <v>5129</v>
      </c>
    </row>
    <row r="411" spans="1:13" x14ac:dyDescent="0.3">
      <c r="A411" t="s">
        <v>436</v>
      </c>
      <c r="B411" t="s">
        <v>407</v>
      </c>
      <c r="C411">
        <v>7439496</v>
      </c>
      <c r="D411">
        <v>100950973</v>
      </c>
      <c r="E411" t="s">
        <v>437</v>
      </c>
      <c r="G411" t="s">
        <v>2198</v>
      </c>
      <c r="H411" t="s">
        <v>1136</v>
      </c>
      <c r="I411" t="s">
        <v>5130</v>
      </c>
    </row>
    <row r="412" spans="1:13" x14ac:dyDescent="0.3">
      <c r="A412" t="s">
        <v>438</v>
      </c>
      <c r="B412" t="s">
        <v>407</v>
      </c>
      <c r="C412">
        <v>7439496</v>
      </c>
      <c r="D412">
        <v>100950971</v>
      </c>
      <c r="E412" t="s">
        <v>439</v>
      </c>
      <c r="G412" t="s">
        <v>2198</v>
      </c>
      <c r="H412" t="s">
        <v>1352</v>
      </c>
      <c r="I412" t="s">
        <v>5131</v>
      </c>
    </row>
    <row r="413" spans="1:13" x14ac:dyDescent="0.3">
      <c r="A413" t="s">
        <v>440</v>
      </c>
      <c r="B413" t="s">
        <v>407</v>
      </c>
      <c r="C413">
        <v>7439496</v>
      </c>
      <c r="D413">
        <v>100950978</v>
      </c>
      <c r="E413" t="s">
        <v>441</v>
      </c>
      <c r="G413" t="s">
        <v>2198</v>
      </c>
      <c r="H413" t="s">
        <v>1356</v>
      </c>
      <c r="I413" t="s">
        <v>5132</v>
      </c>
    </row>
    <row r="414" spans="1:13" x14ac:dyDescent="0.3">
      <c r="A414" t="s">
        <v>442</v>
      </c>
      <c r="B414" t="s">
        <v>407</v>
      </c>
      <c r="C414">
        <v>7439496</v>
      </c>
      <c r="D414">
        <v>100950974</v>
      </c>
      <c r="E414" t="s">
        <v>443</v>
      </c>
      <c r="G414" t="s">
        <v>2198</v>
      </c>
      <c r="H414" t="s">
        <v>1091</v>
      </c>
      <c r="I414" t="s">
        <v>5133</v>
      </c>
    </row>
    <row r="415" spans="1:13" x14ac:dyDescent="0.3">
      <c r="A415" t="s">
        <v>444</v>
      </c>
      <c r="B415" t="s">
        <v>407</v>
      </c>
      <c r="C415">
        <v>7439496</v>
      </c>
      <c r="D415">
        <v>100950970</v>
      </c>
      <c r="E415" t="s">
        <v>445</v>
      </c>
      <c r="G415" t="s">
        <v>2198</v>
      </c>
      <c r="H415" t="s">
        <v>1351</v>
      </c>
      <c r="I415" t="s">
        <v>4879</v>
      </c>
    </row>
    <row r="416" spans="1:13" x14ac:dyDescent="0.3">
      <c r="A416" t="s">
        <v>446</v>
      </c>
      <c r="B416" t="s">
        <v>407</v>
      </c>
      <c r="C416">
        <v>7439496</v>
      </c>
      <c r="D416">
        <v>100950985</v>
      </c>
      <c r="E416" t="s">
        <v>447</v>
      </c>
      <c r="G416" t="s">
        <v>2198</v>
      </c>
      <c r="H416" t="s">
        <v>5134</v>
      </c>
      <c r="I416" t="s">
        <v>2519</v>
      </c>
    </row>
    <row r="417" spans="1:10" x14ac:dyDescent="0.3">
      <c r="A417" t="s">
        <v>448</v>
      </c>
      <c r="B417" t="s">
        <v>407</v>
      </c>
      <c r="C417">
        <v>7439496</v>
      </c>
      <c r="D417">
        <v>100950972</v>
      </c>
      <c r="E417" t="s">
        <v>449</v>
      </c>
      <c r="G417" t="s">
        <v>2198</v>
      </c>
      <c r="H417" t="s">
        <v>1353</v>
      </c>
      <c r="I417" t="s">
        <v>2620</v>
      </c>
    </row>
    <row r="418" spans="1:10" x14ac:dyDescent="0.3">
      <c r="A418" t="s">
        <v>450</v>
      </c>
      <c r="B418" t="s">
        <v>407</v>
      </c>
      <c r="C418">
        <v>7439496</v>
      </c>
      <c r="D418">
        <v>100950969</v>
      </c>
      <c r="E418" t="s">
        <v>451</v>
      </c>
      <c r="G418" t="s">
        <v>2198</v>
      </c>
      <c r="H418" t="s">
        <v>1089</v>
      </c>
      <c r="I418" t="s">
        <v>5135</v>
      </c>
    </row>
    <row r="419" spans="1:10" x14ac:dyDescent="0.3">
      <c r="A419" t="s">
        <v>2134</v>
      </c>
      <c r="B419" t="s">
        <v>2135</v>
      </c>
      <c r="C419">
        <v>120171911</v>
      </c>
      <c r="D419">
        <v>120171969</v>
      </c>
      <c r="E419" t="s">
        <v>2203</v>
      </c>
      <c r="G419" t="s">
        <v>2198</v>
      </c>
      <c r="H419" t="s">
        <v>1261</v>
      </c>
      <c r="I419" t="s">
        <v>2204</v>
      </c>
      <c r="J419" t="s">
        <v>2200</v>
      </c>
    </row>
    <row r="420" spans="1:10" x14ac:dyDescent="0.3">
      <c r="A420" t="s">
        <v>2205</v>
      </c>
      <c r="B420" t="s">
        <v>2206</v>
      </c>
      <c r="C420">
        <v>120171912</v>
      </c>
      <c r="D420">
        <v>120171997</v>
      </c>
      <c r="E420" t="s">
        <v>2207</v>
      </c>
      <c r="G420" t="s">
        <v>2198</v>
      </c>
      <c r="H420" t="s">
        <v>1238</v>
      </c>
      <c r="I420" t="s">
        <v>2208</v>
      </c>
      <c r="J420" t="s">
        <v>2200</v>
      </c>
    </row>
    <row r="421" spans="1:10" x14ac:dyDescent="0.3">
      <c r="A421" t="s">
        <v>2155</v>
      </c>
      <c r="B421" t="s">
        <v>2154</v>
      </c>
      <c r="C421">
        <v>120171913</v>
      </c>
      <c r="D421">
        <v>120171989</v>
      </c>
      <c r="E421" t="s">
        <v>2209</v>
      </c>
      <c r="G421" t="s">
        <v>2198</v>
      </c>
      <c r="H421" t="s">
        <v>1256</v>
      </c>
      <c r="I421" t="s">
        <v>2210</v>
      </c>
      <c r="J421" t="s">
        <v>2200</v>
      </c>
    </row>
    <row r="422" spans="1:10" x14ac:dyDescent="0.3">
      <c r="A422" t="s">
        <v>2153</v>
      </c>
      <c r="B422" t="s">
        <v>2154</v>
      </c>
      <c r="C422">
        <v>120171913</v>
      </c>
      <c r="D422">
        <v>120171988</v>
      </c>
      <c r="E422" t="s">
        <v>2211</v>
      </c>
      <c r="G422" t="s">
        <v>2198</v>
      </c>
      <c r="H422" t="s">
        <v>2212</v>
      </c>
      <c r="I422" t="s">
        <v>2213</v>
      </c>
      <c r="J422" t="s">
        <v>2200</v>
      </c>
    </row>
    <row r="423" spans="1:10" x14ac:dyDescent="0.3">
      <c r="A423" t="s">
        <v>2142</v>
      </c>
      <c r="B423" t="s">
        <v>2214</v>
      </c>
      <c r="C423">
        <v>120171914</v>
      </c>
      <c r="D423">
        <v>120171976</v>
      </c>
      <c r="E423" t="s">
        <v>2215</v>
      </c>
      <c r="G423" t="s">
        <v>2198</v>
      </c>
      <c r="H423" t="s">
        <v>1196</v>
      </c>
      <c r="I423" t="s">
        <v>2216</v>
      </c>
      <c r="J423" t="s">
        <v>2200</v>
      </c>
    </row>
    <row r="424" spans="1:10" x14ac:dyDescent="0.3">
      <c r="A424" t="s">
        <v>2143</v>
      </c>
      <c r="B424" t="s">
        <v>2214</v>
      </c>
      <c r="C424">
        <v>120171914</v>
      </c>
      <c r="D424">
        <v>120171977</v>
      </c>
      <c r="E424" t="s">
        <v>2217</v>
      </c>
      <c r="G424" t="s">
        <v>2198</v>
      </c>
      <c r="H424" t="s">
        <v>2218</v>
      </c>
      <c r="I424" t="s">
        <v>2219</v>
      </c>
      <c r="J424" t="s">
        <v>2200</v>
      </c>
    </row>
    <row r="425" spans="1:10" x14ac:dyDescent="0.3">
      <c r="A425" t="s">
        <v>2124</v>
      </c>
      <c r="B425" t="s">
        <v>2220</v>
      </c>
      <c r="C425">
        <v>120171915</v>
      </c>
      <c r="D425">
        <v>120171961</v>
      </c>
      <c r="E425" t="s">
        <v>2221</v>
      </c>
      <c r="G425" t="s">
        <v>2198</v>
      </c>
      <c r="H425" t="s">
        <v>2222</v>
      </c>
      <c r="I425" t="s">
        <v>2223</v>
      </c>
      <c r="J425" t="s">
        <v>2200</v>
      </c>
    </row>
    <row r="426" spans="1:10" x14ac:dyDescent="0.3">
      <c r="A426" t="s">
        <v>2125</v>
      </c>
      <c r="B426" t="s">
        <v>2220</v>
      </c>
      <c r="C426">
        <v>120171915</v>
      </c>
      <c r="D426">
        <v>120171962</v>
      </c>
      <c r="E426" t="s">
        <v>2224</v>
      </c>
      <c r="G426" t="s">
        <v>2198</v>
      </c>
      <c r="H426" t="s">
        <v>2225</v>
      </c>
      <c r="I426" t="s">
        <v>2226</v>
      </c>
      <c r="J426" t="s">
        <v>2200</v>
      </c>
    </row>
    <row r="427" spans="1:10" x14ac:dyDescent="0.3">
      <c r="A427" t="s">
        <v>2126</v>
      </c>
      <c r="B427" t="s">
        <v>2220</v>
      </c>
      <c r="C427">
        <v>120171915</v>
      </c>
      <c r="D427">
        <v>120171963</v>
      </c>
      <c r="E427" t="s">
        <v>2227</v>
      </c>
      <c r="G427" t="s">
        <v>2198</v>
      </c>
      <c r="H427" t="s">
        <v>2228</v>
      </c>
      <c r="I427" t="s">
        <v>2229</v>
      </c>
      <c r="J427" t="s">
        <v>2200</v>
      </c>
    </row>
    <row r="428" spans="1:10" x14ac:dyDescent="0.3">
      <c r="A428" t="s">
        <v>2123</v>
      </c>
      <c r="B428" t="s">
        <v>2220</v>
      </c>
      <c r="C428">
        <v>120171915</v>
      </c>
      <c r="D428">
        <v>120171960</v>
      </c>
      <c r="E428" t="s">
        <v>2230</v>
      </c>
      <c r="G428" t="s">
        <v>2198</v>
      </c>
      <c r="H428" t="s">
        <v>1089</v>
      </c>
      <c r="I428" t="s">
        <v>2231</v>
      </c>
      <c r="J428" t="s">
        <v>2200</v>
      </c>
    </row>
    <row r="429" spans="1:10" x14ac:dyDescent="0.3">
      <c r="A429" t="s">
        <v>2191</v>
      </c>
      <c r="B429" t="s">
        <v>2232</v>
      </c>
      <c r="C429">
        <v>120171916</v>
      </c>
      <c r="D429">
        <v>120172029</v>
      </c>
      <c r="E429" t="s">
        <v>2233</v>
      </c>
      <c r="G429" t="s">
        <v>2198</v>
      </c>
      <c r="H429" t="s">
        <v>1226</v>
      </c>
      <c r="I429" t="s">
        <v>2234</v>
      </c>
      <c r="J429" t="s">
        <v>2200</v>
      </c>
    </row>
    <row r="430" spans="1:10" x14ac:dyDescent="0.3">
      <c r="A430" t="s">
        <v>2189</v>
      </c>
      <c r="B430" t="s">
        <v>2190</v>
      </c>
      <c r="C430">
        <v>120171917</v>
      </c>
      <c r="D430">
        <v>120172028</v>
      </c>
      <c r="E430" t="s">
        <v>2235</v>
      </c>
      <c r="G430" t="s">
        <v>2198</v>
      </c>
      <c r="H430" t="s">
        <v>2236</v>
      </c>
      <c r="I430" t="s">
        <v>2237</v>
      </c>
      <c r="J430" t="s">
        <v>2200</v>
      </c>
    </row>
    <row r="431" spans="1:10" x14ac:dyDescent="0.3">
      <c r="A431" t="s">
        <v>2185</v>
      </c>
      <c r="B431" t="s">
        <v>2184</v>
      </c>
      <c r="C431">
        <v>120171918</v>
      </c>
      <c r="D431">
        <v>120172024</v>
      </c>
      <c r="E431" t="s">
        <v>2238</v>
      </c>
      <c r="G431" t="s">
        <v>2198</v>
      </c>
      <c r="H431" t="s">
        <v>2239</v>
      </c>
      <c r="I431" t="s">
        <v>2240</v>
      </c>
      <c r="J431" t="s">
        <v>2200</v>
      </c>
    </row>
    <row r="432" spans="1:10" x14ac:dyDescent="0.3">
      <c r="A432" t="s">
        <v>2183</v>
      </c>
      <c r="B432" t="s">
        <v>2184</v>
      </c>
      <c r="C432">
        <v>120171918</v>
      </c>
      <c r="D432">
        <v>120172023</v>
      </c>
      <c r="E432" t="s">
        <v>2241</v>
      </c>
      <c r="G432" t="s">
        <v>2198</v>
      </c>
      <c r="H432" t="s">
        <v>2242</v>
      </c>
      <c r="I432" t="s">
        <v>2243</v>
      </c>
      <c r="J432" t="s">
        <v>2200</v>
      </c>
    </row>
    <row r="433" spans="1:13" x14ac:dyDescent="0.3">
      <c r="A433" t="s">
        <v>2186</v>
      </c>
      <c r="B433" t="s">
        <v>2184</v>
      </c>
      <c r="C433">
        <v>120171918</v>
      </c>
      <c r="D433">
        <v>120172025</v>
      </c>
      <c r="E433" t="s">
        <v>2244</v>
      </c>
      <c r="G433" t="s">
        <v>2198</v>
      </c>
      <c r="H433" t="s">
        <v>2245</v>
      </c>
      <c r="I433" t="s">
        <v>2246</v>
      </c>
      <c r="J433" t="s">
        <v>2200</v>
      </c>
    </row>
    <row r="434" spans="1:13" x14ac:dyDescent="0.3">
      <c r="A434" t="s">
        <v>2109</v>
      </c>
      <c r="B434" t="s">
        <v>2107</v>
      </c>
      <c r="C434">
        <v>120171919</v>
      </c>
      <c r="D434">
        <v>120171897</v>
      </c>
      <c r="E434" t="s">
        <v>2247</v>
      </c>
      <c r="G434" t="s">
        <v>2198</v>
      </c>
      <c r="H434" t="s">
        <v>73</v>
      </c>
      <c r="I434" t="s">
        <v>2248</v>
      </c>
      <c r="J434" t="s">
        <v>2200</v>
      </c>
    </row>
    <row r="435" spans="1:13" x14ac:dyDescent="0.3">
      <c r="A435" t="s">
        <v>2108</v>
      </c>
      <c r="B435" t="s">
        <v>2107</v>
      </c>
      <c r="C435">
        <v>120171919</v>
      </c>
      <c r="D435">
        <v>120171896</v>
      </c>
      <c r="E435" t="s">
        <v>2249</v>
      </c>
      <c r="G435" t="s">
        <v>2198</v>
      </c>
      <c r="H435" t="s">
        <v>2250</v>
      </c>
      <c r="I435" t="s">
        <v>2251</v>
      </c>
      <c r="J435" t="s">
        <v>2200</v>
      </c>
    </row>
    <row r="436" spans="1:13" x14ac:dyDescent="0.3">
      <c r="A436" t="s">
        <v>2110</v>
      </c>
      <c r="B436" t="s">
        <v>2107</v>
      </c>
      <c r="C436">
        <v>120171919</v>
      </c>
      <c r="D436">
        <v>120171898</v>
      </c>
      <c r="E436" t="s">
        <v>2252</v>
      </c>
      <c r="G436" t="s">
        <v>2198</v>
      </c>
      <c r="H436" t="s">
        <v>2253</v>
      </c>
      <c r="I436" t="s">
        <v>2254</v>
      </c>
      <c r="J436" t="s">
        <v>2200</v>
      </c>
    </row>
    <row r="437" spans="1:13" x14ac:dyDescent="0.3">
      <c r="A437" t="s">
        <v>2106</v>
      </c>
      <c r="B437" t="s">
        <v>2107</v>
      </c>
      <c r="C437">
        <v>120171919</v>
      </c>
      <c r="D437">
        <v>120171895</v>
      </c>
      <c r="E437" t="s">
        <v>2255</v>
      </c>
      <c r="G437" t="s">
        <v>2198</v>
      </c>
      <c r="H437" t="s">
        <v>2256</v>
      </c>
      <c r="I437" t="s">
        <v>2257</v>
      </c>
      <c r="J437" t="s">
        <v>2200</v>
      </c>
    </row>
    <row r="438" spans="1:13" x14ac:dyDescent="0.3">
      <c r="A438" t="s">
        <v>2079</v>
      </c>
      <c r="B438" t="s">
        <v>2009</v>
      </c>
      <c r="C438">
        <v>120091794</v>
      </c>
      <c r="D438">
        <v>120091797</v>
      </c>
      <c r="E438" t="s">
        <v>2080</v>
      </c>
      <c r="G438" t="s">
        <v>2198</v>
      </c>
      <c r="H438" t="s">
        <v>1169</v>
      </c>
      <c r="I438" t="s">
        <v>4154</v>
      </c>
      <c r="L438" t="s">
        <v>4155</v>
      </c>
    </row>
    <row r="439" spans="1:13" x14ac:dyDescent="0.3">
      <c r="A439" t="s">
        <v>2081</v>
      </c>
      <c r="B439" t="s">
        <v>2009</v>
      </c>
      <c r="C439">
        <v>120091794</v>
      </c>
      <c r="D439">
        <v>120091796</v>
      </c>
      <c r="E439" t="s">
        <v>2082</v>
      </c>
      <c r="G439" t="s">
        <v>2198</v>
      </c>
      <c r="H439" t="s">
        <v>2370</v>
      </c>
      <c r="I439" t="s">
        <v>2498</v>
      </c>
      <c r="J439" t="s">
        <v>2200</v>
      </c>
      <c r="K439" t="s">
        <v>4156</v>
      </c>
      <c r="L439" t="s">
        <v>4015</v>
      </c>
    </row>
    <row r="440" spans="1:13" x14ac:dyDescent="0.3">
      <c r="A440" t="s">
        <v>2008</v>
      </c>
      <c r="B440" t="s">
        <v>2009</v>
      </c>
      <c r="C440">
        <v>120091794</v>
      </c>
      <c r="D440">
        <v>120171271</v>
      </c>
      <c r="E440" t="s">
        <v>2083</v>
      </c>
      <c r="G440" t="s">
        <v>2198</v>
      </c>
      <c r="H440" t="s">
        <v>2556</v>
      </c>
      <c r="I440" t="s">
        <v>4157</v>
      </c>
      <c r="J440" t="s">
        <v>2200</v>
      </c>
    </row>
    <row r="441" spans="1:13" x14ac:dyDescent="0.3">
      <c r="A441" t="s">
        <v>2084</v>
      </c>
      <c r="B441" t="s">
        <v>2009</v>
      </c>
      <c r="C441">
        <v>120091794</v>
      </c>
      <c r="D441">
        <v>120091795</v>
      </c>
      <c r="E441" t="s">
        <v>2085</v>
      </c>
      <c r="G441" t="s">
        <v>2198</v>
      </c>
      <c r="H441" t="s">
        <v>4158</v>
      </c>
      <c r="I441" t="s">
        <v>4159</v>
      </c>
      <c r="J441" t="s">
        <v>2200</v>
      </c>
      <c r="L441" t="s">
        <v>4160</v>
      </c>
      <c r="M441" t="s">
        <v>4161</v>
      </c>
    </row>
    <row r="442" spans="1:13" x14ac:dyDescent="0.3">
      <c r="A442" t="s">
        <v>4147</v>
      </c>
      <c r="B442" t="s">
        <v>4148</v>
      </c>
      <c r="C442">
        <v>120045202</v>
      </c>
      <c r="D442">
        <v>120045203</v>
      </c>
      <c r="E442" t="s">
        <v>4149</v>
      </c>
      <c r="G442" t="s">
        <v>2198</v>
      </c>
      <c r="H442" t="s">
        <v>1127</v>
      </c>
      <c r="I442" t="s">
        <v>4150</v>
      </c>
      <c r="J442" t="s">
        <v>4151</v>
      </c>
      <c r="L442" t="s">
        <v>4152</v>
      </c>
      <c r="M442" t="s">
        <v>4153</v>
      </c>
    </row>
    <row r="443" spans="1:13" x14ac:dyDescent="0.3">
      <c r="A443" t="s">
        <v>4162</v>
      </c>
      <c r="B443" t="s">
        <v>2809</v>
      </c>
      <c r="C443">
        <v>120096404</v>
      </c>
      <c r="D443">
        <v>120203956</v>
      </c>
      <c r="E443" t="s">
        <v>4163</v>
      </c>
      <c r="G443" t="s">
        <v>2198</v>
      </c>
      <c r="H443" t="s">
        <v>1129</v>
      </c>
      <c r="I443" t="s">
        <v>4164</v>
      </c>
      <c r="J443" t="s">
        <v>2898</v>
      </c>
      <c r="L443" t="s">
        <v>4165</v>
      </c>
      <c r="M443" t="s">
        <v>4166</v>
      </c>
    </row>
    <row r="444" spans="1:13" x14ac:dyDescent="0.3">
      <c r="A444" t="s">
        <v>2808</v>
      </c>
      <c r="B444" t="s">
        <v>2809</v>
      </c>
      <c r="C444">
        <v>120096404</v>
      </c>
      <c r="D444">
        <v>120096471</v>
      </c>
      <c r="E444" t="s">
        <v>2810</v>
      </c>
      <c r="F444" t="s">
        <v>4167</v>
      </c>
      <c r="G444" t="s">
        <v>2386</v>
      </c>
      <c r="H444" t="s">
        <v>2835</v>
      </c>
      <c r="I444" t="s">
        <v>2836</v>
      </c>
      <c r="J444" t="s">
        <v>2343</v>
      </c>
      <c r="K444" t="s">
        <v>2343</v>
      </c>
      <c r="L444" t="s">
        <v>2837</v>
      </c>
    </row>
    <row r="445" spans="1:13" x14ac:dyDescent="0.3">
      <c r="A445" t="s">
        <v>2811</v>
      </c>
      <c r="B445" t="s">
        <v>2809</v>
      </c>
      <c r="C445">
        <v>120096404</v>
      </c>
      <c r="D445">
        <v>120096472</v>
      </c>
      <c r="E445" t="s">
        <v>2812</v>
      </c>
      <c r="G445" t="s">
        <v>2198</v>
      </c>
      <c r="H445" t="s">
        <v>18</v>
      </c>
      <c r="I445" t="s">
        <v>2838</v>
      </c>
      <c r="J445" t="s">
        <v>2200</v>
      </c>
      <c r="K445" t="s">
        <v>2431</v>
      </c>
      <c r="L445" t="s">
        <v>2839</v>
      </c>
    </row>
    <row r="446" spans="1:13" x14ac:dyDescent="0.3">
      <c r="A446" t="s">
        <v>2813</v>
      </c>
      <c r="B446" t="s">
        <v>2809</v>
      </c>
      <c r="C446">
        <v>120096404</v>
      </c>
      <c r="D446">
        <v>120096474</v>
      </c>
      <c r="E446" t="s">
        <v>2814</v>
      </c>
      <c r="F446" t="s">
        <v>4168</v>
      </c>
      <c r="G446" t="s">
        <v>2198</v>
      </c>
      <c r="H446" t="s">
        <v>2502</v>
      </c>
      <c r="I446" t="s">
        <v>2840</v>
      </c>
      <c r="J446" t="s">
        <v>2200</v>
      </c>
      <c r="K446" t="s">
        <v>2431</v>
      </c>
      <c r="L446" t="s">
        <v>2839</v>
      </c>
    </row>
    <row r="447" spans="1:13" x14ac:dyDescent="0.3">
      <c r="A447" t="s">
        <v>2111</v>
      </c>
      <c r="B447" t="s">
        <v>2112</v>
      </c>
      <c r="C447">
        <v>120171920</v>
      </c>
      <c r="D447">
        <v>120171899</v>
      </c>
      <c r="E447" t="s">
        <v>2258</v>
      </c>
      <c r="G447" t="s">
        <v>2198</v>
      </c>
      <c r="H447" t="s">
        <v>2259</v>
      </c>
      <c r="I447" t="s">
        <v>2260</v>
      </c>
      <c r="J447" t="s">
        <v>2200</v>
      </c>
    </row>
    <row r="448" spans="1:13" x14ac:dyDescent="0.3">
      <c r="A448" t="s">
        <v>2127</v>
      </c>
      <c r="B448" t="s">
        <v>2128</v>
      </c>
      <c r="C448">
        <v>120171921</v>
      </c>
      <c r="D448">
        <v>120171964</v>
      </c>
      <c r="E448" t="s">
        <v>2261</v>
      </c>
      <c r="G448" t="s">
        <v>2198</v>
      </c>
      <c r="H448" t="s">
        <v>1182</v>
      </c>
      <c r="I448" t="s">
        <v>1354</v>
      </c>
      <c r="J448" t="s">
        <v>2200</v>
      </c>
    </row>
    <row r="449" spans="1:13" x14ac:dyDescent="0.3">
      <c r="A449" t="s">
        <v>2129</v>
      </c>
      <c r="B449" t="s">
        <v>2128</v>
      </c>
      <c r="C449">
        <v>120171921</v>
      </c>
      <c r="D449">
        <v>120171965</v>
      </c>
      <c r="E449" t="s">
        <v>2262</v>
      </c>
      <c r="G449" t="s">
        <v>2198</v>
      </c>
      <c r="H449" t="s">
        <v>2263</v>
      </c>
      <c r="I449" t="s">
        <v>2264</v>
      </c>
      <c r="J449" t="s">
        <v>2200</v>
      </c>
    </row>
    <row r="450" spans="1:13" x14ac:dyDescent="0.3">
      <c r="A450" t="s">
        <v>2130</v>
      </c>
      <c r="B450" t="s">
        <v>2128</v>
      </c>
      <c r="C450">
        <v>120171921</v>
      </c>
      <c r="D450">
        <v>120171966</v>
      </c>
      <c r="E450" t="s">
        <v>2265</v>
      </c>
      <c r="G450" t="s">
        <v>2198</v>
      </c>
      <c r="H450" t="s">
        <v>2266</v>
      </c>
      <c r="I450" t="s">
        <v>2267</v>
      </c>
      <c r="J450" t="s">
        <v>2200</v>
      </c>
    </row>
    <row r="451" spans="1:13" x14ac:dyDescent="0.3">
      <c r="A451" t="s">
        <v>1069</v>
      </c>
      <c r="B451" t="s">
        <v>5136</v>
      </c>
      <c r="C451">
        <v>519831</v>
      </c>
      <c r="D451">
        <v>101107666</v>
      </c>
      <c r="E451" t="s">
        <v>1071</v>
      </c>
      <c r="G451" t="s">
        <v>2198</v>
      </c>
      <c r="H451" t="s">
        <v>5137</v>
      </c>
      <c r="I451" t="s">
        <v>5138</v>
      </c>
      <c r="J451" t="s">
        <v>2200</v>
      </c>
      <c r="M451" t="s">
        <v>5139</v>
      </c>
    </row>
    <row r="452" spans="1:13" x14ac:dyDescent="0.3">
      <c r="A452" t="s">
        <v>4169</v>
      </c>
      <c r="B452" t="s">
        <v>4170</v>
      </c>
      <c r="C452">
        <v>533143</v>
      </c>
      <c r="D452">
        <v>100747021</v>
      </c>
      <c r="E452" t="s">
        <v>4171</v>
      </c>
      <c r="G452" t="s">
        <v>2386</v>
      </c>
      <c r="H452" t="s">
        <v>4172</v>
      </c>
      <c r="I452" t="s">
        <v>4173</v>
      </c>
      <c r="M452" t="s">
        <v>4174</v>
      </c>
    </row>
    <row r="453" spans="1:13" x14ac:dyDescent="0.3">
      <c r="A453" t="s">
        <v>4175</v>
      </c>
      <c r="B453" t="s">
        <v>4170</v>
      </c>
      <c r="C453">
        <v>533143</v>
      </c>
      <c r="D453">
        <v>100747020</v>
      </c>
      <c r="E453" t="s">
        <v>4176</v>
      </c>
      <c r="G453" t="s">
        <v>2198</v>
      </c>
      <c r="H453" t="s">
        <v>1226</v>
      </c>
      <c r="I453" t="s">
        <v>4177</v>
      </c>
      <c r="L453" t="s">
        <v>4178</v>
      </c>
      <c r="M453" t="s">
        <v>4179</v>
      </c>
    </row>
    <row r="454" spans="1:13" x14ac:dyDescent="0.3">
      <c r="A454" t="s">
        <v>4180</v>
      </c>
      <c r="B454" t="s">
        <v>4170</v>
      </c>
      <c r="C454">
        <v>533143</v>
      </c>
      <c r="D454">
        <v>101028838</v>
      </c>
      <c r="E454" t="s">
        <v>4181</v>
      </c>
      <c r="F454" t="s">
        <v>4182</v>
      </c>
      <c r="G454" t="s">
        <v>2198</v>
      </c>
      <c r="H454" t="s">
        <v>4183</v>
      </c>
      <c r="I454" t="s">
        <v>4184</v>
      </c>
      <c r="J454" t="s">
        <v>2898</v>
      </c>
      <c r="M454" t="s">
        <v>4174</v>
      </c>
    </row>
    <row r="455" spans="1:13" x14ac:dyDescent="0.3">
      <c r="A455" t="s">
        <v>4185</v>
      </c>
      <c r="B455" t="s">
        <v>4170</v>
      </c>
      <c r="C455">
        <v>533143</v>
      </c>
      <c r="D455">
        <v>120201941</v>
      </c>
      <c r="E455" t="s">
        <v>4186</v>
      </c>
      <c r="G455" t="s">
        <v>2198</v>
      </c>
      <c r="H455" t="s">
        <v>1226</v>
      </c>
      <c r="I455" t="s">
        <v>4187</v>
      </c>
      <c r="M455" t="s">
        <v>4188</v>
      </c>
    </row>
    <row r="456" spans="1:13" x14ac:dyDescent="0.3">
      <c r="A456" t="s">
        <v>2944</v>
      </c>
      <c r="B456" t="s">
        <v>2872</v>
      </c>
      <c r="C456">
        <v>110005399</v>
      </c>
      <c r="D456">
        <v>120172604</v>
      </c>
      <c r="E456" t="s">
        <v>2945</v>
      </c>
      <c r="F456" t="s">
        <v>2946</v>
      </c>
      <c r="G456" t="s">
        <v>2198</v>
      </c>
      <c r="H456" t="s">
        <v>1089</v>
      </c>
      <c r="I456" t="s">
        <v>2953</v>
      </c>
      <c r="J456" t="s">
        <v>2200</v>
      </c>
      <c r="L456" t="s">
        <v>2954</v>
      </c>
    </row>
    <row r="457" spans="1:13" x14ac:dyDescent="0.3">
      <c r="A457" t="s">
        <v>2871</v>
      </c>
      <c r="B457" t="s">
        <v>2872</v>
      </c>
      <c r="C457">
        <v>110005399</v>
      </c>
      <c r="D457">
        <v>101113828</v>
      </c>
      <c r="E457" t="s">
        <v>2873</v>
      </c>
      <c r="G457" t="s">
        <v>2198</v>
      </c>
      <c r="H457" t="s">
        <v>1175</v>
      </c>
      <c r="I457" t="s">
        <v>2906</v>
      </c>
      <c r="L457" t="s">
        <v>2907</v>
      </c>
      <c r="M457" t="s">
        <v>2908</v>
      </c>
    </row>
    <row r="458" spans="1:13" x14ac:dyDescent="0.3">
      <c r="A458" t="s">
        <v>2874</v>
      </c>
      <c r="B458" t="s">
        <v>2872</v>
      </c>
      <c r="C458">
        <v>110005399</v>
      </c>
      <c r="D458">
        <v>120046493</v>
      </c>
      <c r="E458" t="s">
        <v>2875</v>
      </c>
      <c r="G458" t="s">
        <v>2198</v>
      </c>
      <c r="H458" t="s">
        <v>2909</v>
      </c>
      <c r="I458" t="s">
        <v>2910</v>
      </c>
      <c r="L458" t="s">
        <v>2911</v>
      </c>
    </row>
    <row r="459" spans="1:13" x14ac:dyDescent="0.3">
      <c r="A459" t="s">
        <v>2876</v>
      </c>
      <c r="B459" t="s">
        <v>2872</v>
      </c>
      <c r="C459">
        <v>110005399</v>
      </c>
      <c r="D459">
        <v>120090304</v>
      </c>
      <c r="E459" t="s">
        <v>2877</v>
      </c>
      <c r="G459" t="s">
        <v>2198</v>
      </c>
      <c r="H459" t="s">
        <v>2912</v>
      </c>
      <c r="I459" t="s">
        <v>2913</v>
      </c>
      <c r="J459" t="s">
        <v>2200</v>
      </c>
      <c r="L459" t="s">
        <v>2914</v>
      </c>
    </row>
    <row r="460" spans="1:13" x14ac:dyDescent="0.3">
      <c r="A460" t="s">
        <v>2947</v>
      </c>
      <c r="B460" t="s">
        <v>2872</v>
      </c>
      <c r="C460">
        <v>110005399</v>
      </c>
      <c r="D460">
        <v>120172605</v>
      </c>
      <c r="E460" t="s">
        <v>2948</v>
      </c>
      <c r="F460" t="s">
        <v>2949</v>
      </c>
      <c r="G460" t="s">
        <v>2198</v>
      </c>
      <c r="H460" t="s">
        <v>2639</v>
      </c>
      <c r="I460" t="s">
        <v>2955</v>
      </c>
      <c r="J460" t="s">
        <v>2200</v>
      </c>
      <c r="L460" t="s">
        <v>2956</v>
      </c>
    </row>
    <row r="461" spans="1:13" x14ac:dyDescent="0.3">
      <c r="A461" t="s">
        <v>2878</v>
      </c>
      <c r="B461" t="s">
        <v>2872</v>
      </c>
      <c r="C461">
        <v>110005399</v>
      </c>
      <c r="D461">
        <v>120090305</v>
      </c>
      <c r="E461" t="s">
        <v>2879</v>
      </c>
      <c r="G461" t="s">
        <v>2198</v>
      </c>
      <c r="H461" t="s">
        <v>1351</v>
      </c>
      <c r="I461" t="s">
        <v>2915</v>
      </c>
      <c r="J461" t="s">
        <v>2200</v>
      </c>
      <c r="L461" t="s">
        <v>2916</v>
      </c>
    </row>
    <row r="462" spans="1:13" x14ac:dyDescent="0.3">
      <c r="A462" t="s">
        <v>2880</v>
      </c>
      <c r="B462" t="s">
        <v>2872</v>
      </c>
      <c r="C462">
        <v>110005399</v>
      </c>
      <c r="D462">
        <v>120090363</v>
      </c>
      <c r="E462" t="s">
        <v>2881</v>
      </c>
      <c r="G462" t="s">
        <v>2198</v>
      </c>
      <c r="H462" t="s">
        <v>2917</v>
      </c>
      <c r="I462" t="s">
        <v>2918</v>
      </c>
      <c r="J462" t="s">
        <v>2200</v>
      </c>
    </row>
    <row r="463" spans="1:13" x14ac:dyDescent="0.3">
      <c r="A463" t="s">
        <v>2882</v>
      </c>
      <c r="B463" t="s">
        <v>2872</v>
      </c>
      <c r="C463">
        <v>110005399</v>
      </c>
      <c r="D463">
        <v>120090302</v>
      </c>
      <c r="E463" t="s">
        <v>2883</v>
      </c>
      <c r="G463" t="s">
        <v>2198</v>
      </c>
      <c r="H463" t="s">
        <v>1356</v>
      </c>
      <c r="I463" t="s">
        <v>2919</v>
      </c>
      <c r="J463" t="s">
        <v>2200</v>
      </c>
      <c r="L463" t="s">
        <v>2916</v>
      </c>
    </row>
    <row r="464" spans="1:13" x14ac:dyDescent="0.3">
      <c r="A464" t="s">
        <v>2950</v>
      </c>
      <c r="B464" t="s">
        <v>2872</v>
      </c>
      <c r="C464">
        <v>110005399</v>
      </c>
      <c r="D464">
        <v>120172606</v>
      </c>
      <c r="E464" t="s">
        <v>2951</v>
      </c>
      <c r="F464" t="s">
        <v>2952</v>
      </c>
      <c r="G464" t="s">
        <v>2198</v>
      </c>
      <c r="H464" t="s">
        <v>2957</v>
      </c>
      <c r="I464" t="s">
        <v>2958</v>
      </c>
      <c r="J464" t="s">
        <v>2898</v>
      </c>
      <c r="L464" t="s">
        <v>2957</v>
      </c>
    </row>
    <row r="465" spans="1:13" x14ac:dyDescent="0.3">
      <c r="A465" t="s">
        <v>2884</v>
      </c>
      <c r="B465" t="s">
        <v>2872</v>
      </c>
      <c r="C465">
        <v>110005399</v>
      </c>
      <c r="D465">
        <v>120046494</v>
      </c>
      <c r="E465" t="s">
        <v>2885</v>
      </c>
      <c r="G465" t="s">
        <v>2198</v>
      </c>
      <c r="H465" t="s">
        <v>2347</v>
      </c>
      <c r="I465" t="s">
        <v>2511</v>
      </c>
      <c r="L465" t="s">
        <v>2920</v>
      </c>
    </row>
    <row r="466" spans="1:13" x14ac:dyDescent="0.3">
      <c r="A466" t="s">
        <v>2886</v>
      </c>
      <c r="B466" t="s">
        <v>2872</v>
      </c>
      <c r="C466">
        <v>110005399</v>
      </c>
      <c r="D466">
        <v>120090303</v>
      </c>
      <c r="E466" t="s">
        <v>2887</v>
      </c>
      <c r="G466" t="s">
        <v>2198</v>
      </c>
      <c r="H466" t="s">
        <v>2921</v>
      </c>
      <c r="I466" t="s">
        <v>2922</v>
      </c>
      <c r="J466" t="s">
        <v>2200</v>
      </c>
      <c r="L466" t="s">
        <v>2923</v>
      </c>
    </row>
    <row r="467" spans="1:13" x14ac:dyDescent="0.3">
      <c r="A467" t="s">
        <v>2888</v>
      </c>
      <c r="B467" t="s">
        <v>2872</v>
      </c>
      <c r="C467">
        <v>110005399</v>
      </c>
      <c r="D467">
        <v>120090306</v>
      </c>
      <c r="E467" t="s">
        <v>2889</v>
      </c>
      <c r="G467" t="s">
        <v>2198</v>
      </c>
      <c r="H467" t="s">
        <v>1259</v>
      </c>
      <c r="I467" t="s">
        <v>2924</v>
      </c>
      <c r="J467" t="s">
        <v>2200</v>
      </c>
      <c r="L467" t="s">
        <v>2925</v>
      </c>
    </row>
    <row r="468" spans="1:13" x14ac:dyDescent="0.3">
      <c r="A468" t="s">
        <v>2890</v>
      </c>
      <c r="B468" t="s">
        <v>2872</v>
      </c>
      <c r="C468">
        <v>110005399</v>
      </c>
      <c r="D468">
        <v>120090301</v>
      </c>
      <c r="E468" t="s">
        <v>2891</v>
      </c>
      <c r="G468" t="s">
        <v>2198</v>
      </c>
      <c r="H468" t="s">
        <v>1244</v>
      </c>
      <c r="I468" t="s">
        <v>2926</v>
      </c>
      <c r="J468" t="s">
        <v>2901</v>
      </c>
      <c r="L468" t="s">
        <v>2927</v>
      </c>
    </row>
    <row r="469" spans="1:13" x14ac:dyDescent="0.3">
      <c r="A469" t="s">
        <v>2892</v>
      </c>
      <c r="B469" t="s">
        <v>2872</v>
      </c>
      <c r="C469">
        <v>110005399</v>
      </c>
      <c r="D469">
        <v>120090307</v>
      </c>
      <c r="E469" t="s">
        <v>2893</v>
      </c>
      <c r="G469" t="s">
        <v>2198</v>
      </c>
      <c r="H469" t="s">
        <v>1103</v>
      </c>
      <c r="I469" t="s">
        <v>2928</v>
      </c>
      <c r="J469" t="s">
        <v>2200</v>
      </c>
    </row>
    <row r="470" spans="1:13" x14ac:dyDescent="0.3">
      <c r="A470" t="s">
        <v>2894</v>
      </c>
      <c r="B470" t="s">
        <v>2872</v>
      </c>
      <c r="C470">
        <v>110005399</v>
      </c>
      <c r="D470">
        <v>120090308</v>
      </c>
      <c r="E470" t="s">
        <v>2895</v>
      </c>
      <c r="G470" t="s">
        <v>2198</v>
      </c>
      <c r="H470" t="s">
        <v>2523</v>
      </c>
      <c r="I470" t="s">
        <v>2929</v>
      </c>
      <c r="J470" t="s">
        <v>2200</v>
      </c>
    </row>
    <row r="471" spans="1:13" x14ac:dyDescent="0.3">
      <c r="A471" t="s">
        <v>2797</v>
      </c>
      <c r="B471" t="s">
        <v>2872</v>
      </c>
      <c r="C471">
        <v>110005399</v>
      </c>
      <c r="D471">
        <v>120046495</v>
      </c>
      <c r="E471" t="s">
        <v>2896</v>
      </c>
      <c r="G471" t="s">
        <v>2198</v>
      </c>
      <c r="H471" t="s">
        <v>2930</v>
      </c>
      <c r="I471" t="s">
        <v>2931</v>
      </c>
      <c r="L471" t="s">
        <v>2932</v>
      </c>
    </row>
    <row r="472" spans="1:13" x14ac:dyDescent="0.3">
      <c r="A472" t="s">
        <v>2136</v>
      </c>
      <c r="B472" t="s">
        <v>2137</v>
      </c>
      <c r="C472">
        <v>120171922</v>
      </c>
      <c r="D472">
        <v>120171970</v>
      </c>
      <c r="E472" t="s">
        <v>2268</v>
      </c>
      <c r="G472" t="s">
        <v>2198</v>
      </c>
      <c r="H472" t="s">
        <v>2269</v>
      </c>
      <c r="I472" t="s">
        <v>2270</v>
      </c>
      <c r="J472" t="s">
        <v>2200</v>
      </c>
    </row>
    <row r="473" spans="1:13" x14ac:dyDescent="0.3">
      <c r="A473" t="s">
        <v>254</v>
      </c>
      <c r="B473" t="s">
        <v>5140</v>
      </c>
      <c r="C473">
        <v>7483035</v>
      </c>
      <c r="D473">
        <v>101008845</v>
      </c>
      <c r="E473" t="s">
        <v>256</v>
      </c>
      <c r="G473" t="s">
        <v>2198</v>
      </c>
      <c r="H473" t="s">
        <v>1089</v>
      </c>
      <c r="I473" t="s">
        <v>3098</v>
      </c>
      <c r="J473" t="s">
        <v>2200</v>
      </c>
      <c r="M473" t="s">
        <v>5141</v>
      </c>
    </row>
    <row r="474" spans="1:13" x14ac:dyDescent="0.3">
      <c r="A474" t="s">
        <v>258</v>
      </c>
      <c r="B474" t="s">
        <v>5140</v>
      </c>
      <c r="C474">
        <v>7483035</v>
      </c>
      <c r="D474">
        <v>101059035</v>
      </c>
      <c r="E474" t="s">
        <v>259</v>
      </c>
      <c r="G474" t="s">
        <v>2198</v>
      </c>
      <c r="H474" t="s">
        <v>1356</v>
      </c>
      <c r="I474" t="s">
        <v>5142</v>
      </c>
      <c r="M474" t="s">
        <v>5141</v>
      </c>
    </row>
    <row r="475" spans="1:13" x14ac:dyDescent="0.3">
      <c r="A475" t="s">
        <v>260</v>
      </c>
      <c r="B475" t="s">
        <v>5140</v>
      </c>
      <c r="C475">
        <v>7483035</v>
      </c>
      <c r="D475">
        <v>101059033</v>
      </c>
      <c r="E475" t="s">
        <v>261</v>
      </c>
      <c r="G475" t="s">
        <v>2198</v>
      </c>
      <c r="H475" t="s">
        <v>2515</v>
      </c>
      <c r="I475" t="s">
        <v>5143</v>
      </c>
      <c r="M475" t="s">
        <v>5141</v>
      </c>
    </row>
    <row r="476" spans="1:13" x14ac:dyDescent="0.3">
      <c r="A476" t="s">
        <v>262</v>
      </c>
      <c r="B476" t="s">
        <v>5140</v>
      </c>
      <c r="C476">
        <v>7483035</v>
      </c>
      <c r="D476">
        <v>101059034</v>
      </c>
      <c r="E476" t="s">
        <v>263</v>
      </c>
      <c r="G476" t="s">
        <v>2198</v>
      </c>
      <c r="H476" t="s">
        <v>1228</v>
      </c>
      <c r="I476" t="s">
        <v>5144</v>
      </c>
      <c r="M476" t="s">
        <v>5141</v>
      </c>
    </row>
    <row r="477" spans="1:13" x14ac:dyDescent="0.3">
      <c r="A477" t="s">
        <v>264</v>
      </c>
      <c r="B477" t="s">
        <v>5140</v>
      </c>
      <c r="C477">
        <v>7483035</v>
      </c>
      <c r="D477">
        <v>101059026</v>
      </c>
      <c r="E477" t="s">
        <v>265</v>
      </c>
      <c r="G477" t="s">
        <v>2198</v>
      </c>
      <c r="H477" t="s">
        <v>1136</v>
      </c>
      <c r="I477" t="s">
        <v>1128</v>
      </c>
      <c r="M477" t="s">
        <v>5141</v>
      </c>
    </row>
    <row r="478" spans="1:13" x14ac:dyDescent="0.3">
      <c r="A478" t="s">
        <v>2162</v>
      </c>
      <c r="B478" t="s">
        <v>2163</v>
      </c>
      <c r="C478">
        <v>120171923</v>
      </c>
      <c r="D478">
        <v>120171996</v>
      </c>
      <c r="E478" t="s">
        <v>2271</v>
      </c>
      <c r="G478" t="s">
        <v>2198</v>
      </c>
      <c r="H478" t="s">
        <v>2272</v>
      </c>
      <c r="I478" t="s">
        <v>2273</v>
      </c>
      <c r="J478" t="s">
        <v>2200</v>
      </c>
    </row>
    <row r="479" spans="1:13" x14ac:dyDescent="0.3">
      <c r="A479" t="s">
        <v>2959</v>
      </c>
      <c r="B479" t="s">
        <v>2960</v>
      </c>
      <c r="C479">
        <v>120106141</v>
      </c>
      <c r="D479">
        <v>120106142</v>
      </c>
      <c r="E479" t="s">
        <v>2961</v>
      </c>
      <c r="F479" t="s">
        <v>2962</v>
      </c>
      <c r="G479" t="s">
        <v>2198</v>
      </c>
      <c r="H479" t="s">
        <v>1119</v>
      </c>
      <c r="I479" t="s">
        <v>2963</v>
      </c>
      <c r="K479" t="s">
        <v>5145</v>
      </c>
      <c r="L479" t="s">
        <v>2964</v>
      </c>
      <c r="M479" t="s">
        <v>2965</v>
      </c>
    </row>
    <row r="480" spans="1:13" x14ac:dyDescent="0.3">
      <c r="A480" t="s">
        <v>2966</v>
      </c>
      <c r="B480" t="s">
        <v>2960</v>
      </c>
      <c r="C480">
        <v>120106141</v>
      </c>
      <c r="D480">
        <v>120172603</v>
      </c>
      <c r="E480" t="s">
        <v>2967</v>
      </c>
      <c r="F480" t="s">
        <v>2968</v>
      </c>
      <c r="G480" t="s">
        <v>2198</v>
      </c>
      <c r="H480" t="s">
        <v>2653</v>
      </c>
      <c r="I480" t="s">
        <v>2969</v>
      </c>
      <c r="J480" t="s">
        <v>2200</v>
      </c>
    </row>
    <row r="481" spans="1:13" x14ac:dyDescent="0.3">
      <c r="A481" t="s">
        <v>129</v>
      </c>
      <c r="B481" t="s">
        <v>5146</v>
      </c>
      <c r="C481">
        <v>7458973</v>
      </c>
      <c r="D481">
        <v>101056209</v>
      </c>
      <c r="E481" t="s">
        <v>5147</v>
      </c>
      <c r="G481" t="s">
        <v>2198</v>
      </c>
      <c r="H481" t="s">
        <v>1115</v>
      </c>
      <c r="I481" t="s">
        <v>5148</v>
      </c>
      <c r="M481" t="s">
        <v>5149</v>
      </c>
    </row>
    <row r="482" spans="1:13" x14ac:dyDescent="0.3">
      <c r="A482" t="s">
        <v>131</v>
      </c>
      <c r="B482" t="s">
        <v>5146</v>
      </c>
      <c r="C482">
        <v>7458973</v>
      </c>
      <c r="D482">
        <v>101056207</v>
      </c>
      <c r="E482" t="s">
        <v>5150</v>
      </c>
      <c r="G482" t="s">
        <v>2198</v>
      </c>
      <c r="H482" t="s">
        <v>18</v>
      </c>
      <c r="I482" t="s">
        <v>5151</v>
      </c>
      <c r="K482" t="s">
        <v>5152</v>
      </c>
      <c r="M482" t="s">
        <v>5149</v>
      </c>
    </row>
    <row r="483" spans="1:13" x14ac:dyDescent="0.3">
      <c r="A483" t="s">
        <v>132</v>
      </c>
      <c r="B483" t="s">
        <v>5146</v>
      </c>
      <c r="C483">
        <v>7458973</v>
      </c>
      <c r="D483">
        <v>101056208</v>
      </c>
      <c r="E483" t="s">
        <v>5153</v>
      </c>
      <c r="G483" t="s">
        <v>2198</v>
      </c>
      <c r="H483" t="s">
        <v>1169</v>
      </c>
      <c r="I483" t="s">
        <v>5154</v>
      </c>
      <c r="M483" t="s">
        <v>5149</v>
      </c>
    </row>
    <row r="484" spans="1:13" x14ac:dyDescent="0.3">
      <c r="A484" t="s">
        <v>5155</v>
      </c>
      <c r="B484" t="s">
        <v>5146</v>
      </c>
      <c r="C484">
        <v>7458973</v>
      </c>
      <c r="D484">
        <v>100990672</v>
      </c>
      <c r="G484" t="s">
        <v>2198</v>
      </c>
      <c r="H484" t="s">
        <v>3265</v>
      </c>
      <c r="I484" t="s">
        <v>5156</v>
      </c>
      <c r="M484" t="s">
        <v>5157</v>
      </c>
    </row>
    <row r="485" spans="1:13" x14ac:dyDescent="0.3">
      <c r="A485" t="s">
        <v>2170</v>
      </c>
      <c r="B485" t="s">
        <v>2171</v>
      </c>
      <c r="C485">
        <v>120171926</v>
      </c>
      <c r="D485">
        <v>120172002</v>
      </c>
      <c r="E485" t="s">
        <v>2285</v>
      </c>
      <c r="G485" t="s">
        <v>2198</v>
      </c>
      <c r="H485" t="s">
        <v>2286</v>
      </c>
      <c r="I485" t="s">
        <v>2287</v>
      </c>
      <c r="J485" t="s">
        <v>2200</v>
      </c>
    </row>
    <row r="486" spans="1:13" x14ac:dyDescent="0.3">
      <c r="A486" t="s">
        <v>2113</v>
      </c>
      <c r="B486" t="s">
        <v>2288</v>
      </c>
      <c r="C486">
        <v>529816</v>
      </c>
      <c r="D486">
        <v>120171950</v>
      </c>
      <c r="E486" t="s">
        <v>2289</v>
      </c>
      <c r="G486" t="s">
        <v>2198</v>
      </c>
      <c r="H486" t="s">
        <v>1171</v>
      </c>
      <c r="I486" t="s">
        <v>2290</v>
      </c>
      <c r="J486" t="s">
        <v>2200</v>
      </c>
    </row>
    <row r="487" spans="1:13" x14ac:dyDescent="0.3">
      <c r="A487" t="s">
        <v>2291</v>
      </c>
      <c r="B487" t="s">
        <v>2288</v>
      </c>
      <c r="C487">
        <v>529816</v>
      </c>
      <c r="D487">
        <v>100742957</v>
      </c>
      <c r="E487" t="s">
        <v>2292</v>
      </c>
      <c r="G487" t="s">
        <v>2198</v>
      </c>
      <c r="H487" t="s">
        <v>2293</v>
      </c>
      <c r="I487" t="s">
        <v>2294</v>
      </c>
      <c r="L487" t="s">
        <v>2295</v>
      </c>
      <c r="M487" t="s">
        <v>2296</v>
      </c>
    </row>
    <row r="488" spans="1:13" x14ac:dyDescent="0.3">
      <c r="A488" t="s">
        <v>5158</v>
      </c>
      <c r="B488" t="s">
        <v>5159</v>
      </c>
      <c r="C488">
        <v>7492511</v>
      </c>
      <c r="D488">
        <v>101035125</v>
      </c>
      <c r="E488" t="s">
        <v>5160</v>
      </c>
      <c r="F488" t="s">
        <v>5161</v>
      </c>
      <c r="G488" t="s">
        <v>2386</v>
      </c>
      <c r="H488" t="s">
        <v>5162</v>
      </c>
      <c r="I488" t="s">
        <v>3313</v>
      </c>
      <c r="K488" t="s">
        <v>5163</v>
      </c>
      <c r="M488" t="s">
        <v>5164</v>
      </c>
    </row>
    <row r="489" spans="1:13" x14ac:dyDescent="0.3">
      <c r="A489" t="s">
        <v>2933</v>
      </c>
      <c r="B489" t="s">
        <v>2934</v>
      </c>
      <c r="C489">
        <v>80107937</v>
      </c>
      <c r="D489">
        <v>120105520</v>
      </c>
      <c r="E489" t="s">
        <v>2935</v>
      </c>
      <c r="F489" t="s">
        <v>2936</v>
      </c>
      <c r="G489" t="s">
        <v>2198</v>
      </c>
      <c r="H489" t="s">
        <v>2515</v>
      </c>
      <c r="I489" t="s">
        <v>2938</v>
      </c>
      <c r="J489" t="s">
        <v>2200</v>
      </c>
      <c r="L489" t="s">
        <v>2432</v>
      </c>
      <c r="M489" t="s">
        <v>2939</v>
      </c>
    </row>
    <row r="490" spans="1:13" x14ac:dyDescent="0.3">
      <c r="A490" t="s">
        <v>2937</v>
      </c>
      <c r="B490" t="s">
        <v>2934</v>
      </c>
      <c r="C490">
        <v>80107937</v>
      </c>
      <c r="D490">
        <v>120105521</v>
      </c>
      <c r="G490" t="s">
        <v>2198</v>
      </c>
      <c r="H490" t="s">
        <v>2940</v>
      </c>
      <c r="I490" t="s">
        <v>2941</v>
      </c>
      <c r="J490" t="s">
        <v>2343</v>
      </c>
      <c r="L490" t="s">
        <v>2942</v>
      </c>
      <c r="M490" t="s">
        <v>2943</v>
      </c>
    </row>
    <row r="491" spans="1:13" x14ac:dyDescent="0.3">
      <c r="A491" t="s">
        <v>1970</v>
      </c>
      <c r="B491" t="s">
        <v>2062</v>
      </c>
      <c r="C491">
        <v>516773</v>
      </c>
      <c r="D491">
        <v>100731633</v>
      </c>
      <c r="G491" t="s">
        <v>2198</v>
      </c>
      <c r="H491" t="s">
        <v>2269</v>
      </c>
      <c r="I491" t="s">
        <v>4203</v>
      </c>
      <c r="K491" t="s">
        <v>2431</v>
      </c>
      <c r="L491" t="s">
        <v>4018</v>
      </c>
      <c r="M491" t="s">
        <v>4204</v>
      </c>
    </row>
    <row r="492" spans="1:13" x14ac:dyDescent="0.3">
      <c r="A492" t="s">
        <v>3033</v>
      </c>
      <c r="B492" t="s">
        <v>2062</v>
      </c>
      <c r="C492">
        <v>516773</v>
      </c>
      <c r="D492">
        <v>100731635</v>
      </c>
      <c r="E492" t="s">
        <v>1979</v>
      </c>
      <c r="G492" t="s">
        <v>2198</v>
      </c>
      <c r="H492" t="s">
        <v>1196</v>
      </c>
      <c r="I492" t="s">
        <v>4205</v>
      </c>
      <c r="K492" t="s">
        <v>2431</v>
      </c>
      <c r="L492" t="s">
        <v>4206</v>
      </c>
      <c r="M492" t="s">
        <v>4207</v>
      </c>
    </row>
    <row r="493" spans="1:13" x14ac:dyDescent="0.3">
      <c r="A493" t="s">
        <v>1971</v>
      </c>
      <c r="B493" t="s">
        <v>2062</v>
      </c>
      <c r="C493">
        <v>516773</v>
      </c>
      <c r="D493">
        <v>100731627</v>
      </c>
      <c r="E493" t="s">
        <v>1980</v>
      </c>
      <c r="G493" t="s">
        <v>2198</v>
      </c>
      <c r="H493" t="s">
        <v>4208</v>
      </c>
      <c r="I493" t="s">
        <v>4164</v>
      </c>
      <c r="L493" t="s">
        <v>4209</v>
      </c>
      <c r="M493" t="s">
        <v>4210</v>
      </c>
    </row>
    <row r="494" spans="1:13" x14ac:dyDescent="0.3">
      <c r="A494" t="s">
        <v>2064</v>
      </c>
      <c r="B494" t="s">
        <v>2062</v>
      </c>
      <c r="C494">
        <v>516773</v>
      </c>
      <c r="D494">
        <v>120171264</v>
      </c>
      <c r="E494" t="s">
        <v>2065</v>
      </c>
      <c r="G494" t="s">
        <v>2198</v>
      </c>
      <c r="H494" t="s">
        <v>4211</v>
      </c>
      <c r="I494" t="s">
        <v>4212</v>
      </c>
      <c r="J494" t="s">
        <v>2200</v>
      </c>
    </row>
    <row r="495" spans="1:13" x14ac:dyDescent="0.3">
      <c r="A495" t="s">
        <v>2066</v>
      </c>
      <c r="B495" t="s">
        <v>2062</v>
      </c>
      <c r="C495">
        <v>516773</v>
      </c>
      <c r="D495">
        <v>120171263</v>
      </c>
      <c r="E495" t="s">
        <v>2067</v>
      </c>
      <c r="G495" t="s">
        <v>2198</v>
      </c>
      <c r="H495" t="s">
        <v>1270</v>
      </c>
      <c r="I495" t="s">
        <v>4213</v>
      </c>
      <c r="J495" t="s">
        <v>2200</v>
      </c>
    </row>
    <row r="496" spans="1:13" x14ac:dyDescent="0.3">
      <c r="A496" t="s">
        <v>1972</v>
      </c>
      <c r="B496" t="s">
        <v>2062</v>
      </c>
      <c r="C496">
        <v>516773</v>
      </c>
      <c r="D496">
        <v>100731630</v>
      </c>
      <c r="E496" t="s">
        <v>1981</v>
      </c>
      <c r="G496" t="s">
        <v>2198</v>
      </c>
      <c r="H496" t="s">
        <v>2266</v>
      </c>
      <c r="I496" t="s">
        <v>4214</v>
      </c>
      <c r="K496" t="s">
        <v>4215</v>
      </c>
      <c r="L496" t="s">
        <v>4216</v>
      </c>
      <c r="M496" t="s">
        <v>4210</v>
      </c>
    </row>
    <row r="497" spans="1:13" x14ac:dyDescent="0.3">
      <c r="A497" t="s">
        <v>3032</v>
      </c>
      <c r="B497" t="s">
        <v>2062</v>
      </c>
      <c r="C497">
        <v>516773</v>
      </c>
      <c r="D497">
        <v>100731636</v>
      </c>
      <c r="E497" t="s">
        <v>1982</v>
      </c>
      <c r="G497" t="s">
        <v>2198</v>
      </c>
      <c r="H497" t="s">
        <v>2848</v>
      </c>
      <c r="I497" t="s">
        <v>1352</v>
      </c>
      <c r="K497" t="s">
        <v>2431</v>
      </c>
      <c r="L497" t="s">
        <v>2455</v>
      </c>
      <c r="M497" t="s">
        <v>4207</v>
      </c>
    </row>
    <row r="498" spans="1:13" x14ac:dyDescent="0.3">
      <c r="A498" t="s">
        <v>1973</v>
      </c>
      <c r="B498" t="s">
        <v>2062</v>
      </c>
      <c r="C498">
        <v>516773</v>
      </c>
      <c r="D498">
        <v>100731634</v>
      </c>
      <c r="G498" t="s">
        <v>2198</v>
      </c>
      <c r="H498" t="s">
        <v>3092</v>
      </c>
      <c r="I498" t="s">
        <v>4217</v>
      </c>
      <c r="K498" t="s">
        <v>4215</v>
      </c>
      <c r="L498" t="s">
        <v>4215</v>
      </c>
      <c r="M498" t="s">
        <v>4210</v>
      </c>
    </row>
    <row r="499" spans="1:13" x14ac:dyDescent="0.3">
      <c r="A499" t="s">
        <v>1974</v>
      </c>
      <c r="B499" t="s">
        <v>2062</v>
      </c>
      <c r="C499">
        <v>516773</v>
      </c>
      <c r="D499">
        <v>100731631</v>
      </c>
      <c r="G499" t="s">
        <v>2198</v>
      </c>
      <c r="H499" t="s">
        <v>1200</v>
      </c>
      <c r="I499" t="s">
        <v>4218</v>
      </c>
      <c r="L499" t="s">
        <v>2344</v>
      </c>
      <c r="M499" t="s">
        <v>4210</v>
      </c>
    </row>
    <row r="500" spans="1:13" x14ac:dyDescent="0.3">
      <c r="A500" t="s">
        <v>1975</v>
      </c>
      <c r="B500" t="s">
        <v>2062</v>
      </c>
      <c r="C500">
        <v>516773</v>
      </c>
      <c r="D500">
        <v>120096347</v>
      </c>
      <c r="E500" t="s">
        <v>1983</v>
      </c>
      <c r="G500" t="s">
        <v>2198</v>
      </c>
      <c r="H500" t="s">
        <v>1095</v>
      </c>
      <c r="I500" t="s">
        <v>4219</v>
      </c>
      <c r="J500" t="s">
        <v>2200</v>
      </c>
      <c r="K500" t="s">
        <v>2431</v>
      </c>
      <c r="L500" t="s">
        <v>4220</v>
      </c>
    </row>
    <row r="501" spans="1:13" x14ac:dyDescent="0.3">
      <c r="A501" t="s">
        <v>1976</v>
      </c>
      <c r="B501" t="s">
        <v>2062</v>
      </c>
      <c r="C501">
        <v>516773</v>
      </c>
      <c r="D501">
        <v>120096475</v>
      </c>
      <c r="E501" t="s">
        <v>1984</v>
      </c>
      <c r="F501" t="s">
        <v>1978</v>
      </c>
      <c r="G501" t="s">
        <v>2198</v>
      </c>
      <c r="H501" t="s">
        <v>1125</v>
      </c>
      <c r="I501" t="s">
        <v>2564</v>
      </c>
      <c r="J501" t="s">
        <v>2898</v>
      </c>
      <c r="K501" t="s">
        <v>2431</v>
      </c>
      <c r="L501" t="s">
        <v>4221</v>
      </c>
    </row>
    <row r="502" spans="1:13" x14ac:dyDescent="0.3">
      <c r="A502" t="s">
        <v>1977</v>
      </c>
      <c r="B502" t="s">
        <v>2062</v>
      </c>
      <c r="C502">
        <v>516773</v>
      </c>
      <c r="D502">
        <v>100731638</v>
      </c>
      <c r="G502" t="s">
        <v>2198</v>
      </c>
      <c r="H502" t="s">
        <v>1234</v>
      </c>
      <c r="I502" t="s">
        <v>18</v>
      </c>
      <c r="L502" t="s">
        <v>2455</v>
      </c>
      <c r="M502" t="s">
        <v>4210</v>
      </c>
    </row>
    <row r="503" spans="1:13" x14ac:dyDescent="0.3">
      <c r="A503" t="s">
        <v>2068</v>
      </c>
      <c r="B503" t="s">
        <v>2062</v>
      </c>
      <c r="C503">
        <v>516773</v>
      </c>
      <c r="D503">
        <v>120171261</v>
      </c>
      <c r="E503" t="s">
        <v>2069</v>
      </c>
      <c r="G503" t="s">
        <v>2198</v>
      </c>
      <c r="H503" t="s">
        <v>1269</v>
      </c>
      <c r="I503" t="s">
        <v>4222</v>
      </c>
      <c r="J503" t="s">
        <v>2200</v>
      </c>
    </row>
    <row r="504" spans="1:13" x14ac:dyDescent="0.3">
      <c r="A504" t="s">
        <v>2006</v>
      </c>
      <c r="B504" t="s">
        <v>2062</v>
      </c>
      <c r="C504">
        <v>516773</v>
      </c>
      <c r="D504">
        <v>120171262</v>
      </c>
      <c r="E504" t="s">
        <v>2070</v>
      </c>
      <c r="G504" t="s">
        <v>2198</v>
      </c>
      <c r="H504" t="s">
        <v>2382</v>
      </c>
      <c r="I504" t="s">
        <v>4223</v>
      </c>
      <c r="J504" t="s">
        <v>2200</v>
      </c>
    </row>
    <row r="505" spans="1:13" x14ac:dyDescent="0.3">
      <c r="A505" t="s">
        <v>2071</v>
      </c>
      <c r="B505" t="s">
        <v>2062</v>
      </c>
      <c r="C505">
        <v>516773</v>
      </c>
      <c r="D505">
        <v>100731629</v>
      </c>
      <c r="G505" t="s">
        <v>2198</v>
      </c>
      <c r="H505" t="s">
        <v>2382</v>
      </c>
      <c r="I505" t="s">
        <v>4224</v>
      </c>
      <c r="L505" t="s">
        <v>4012</v>
      </c>
      <c r="M505" t="s">
        <v>4225</v>
      </c>
    </row>
    <row r="506" spans="1:13" x14ac:dyDescent="0.3">
      <c r="A506" t="s">
        <v>2072</v>
      </c>
      <c r="B506" t="s">
        <v>2062</v>
      </c>
      <c r="C506">
        <v>516773</v>
      </c>
      <c r="D506">
        <v>100731637</v>
      </c>
      <c r="E506" t="s">
        <v>2073</v>
      </c>
      <c r="G506" t="s">
        <v>2198</v>
      </c>
      <c r="H506" t="s">
        <v>1119</v>
      </c>
      <c r="I506" t="s">
        <v>4226</v>
      </c>
      <c r="K506" t="s">
        <v>2431</v>
      </c>
      <c r="L506" t="s">
        <v>4227</v>
      </c>
      <c r="M506" t="s">
        <v>4207</v>
      </c>
    </row>
    <row r="507" spans="1:13" x14ac:dyDescent="0.3">
      <c r="A507" t="s">
        <v>2074</v>
      </c>
      <c r="B507" t="s">
        <v>2062</v>
      </c>
      <c r="C507">
        <v>516773</v>
      </c>
      <c r="D507">
        <v>100731632</v>
      </c>
      <c r="E507" t="s">
        <v>2075</v>
      </c>
      <c r="G507" t="s">
        <v>2198</v>
      </c>
      <c r="H507" t="s">
        <v>4228</v>
      </c>
      <c r="I507" t="s">
        <v>4229</v>
      </c>
      <c r="K507" t="s">
        <v>2431</v>
      </c>
      <c r="L507" t="s">
        <v>2431</v>
      </c>
      <c r="M507" t="s">
        <v>4230</v>
      </c>
    </row>
    <row r="508" spans="1:13" x14ac:dyDescent="0.3">
      <c r="A508" t="s">
        <v>2076</v>
      </c>
      <c r="B508" t="s">
        <v>2062</v>
      </c>
      <c r="C508">
        <v>516773</v>
      </c>
      <c r="D508">
        <v>100731628</v>
      </c>
      <c r="G508" t="s">
        <v>2198</v>
      </c>
      <c r="H508" t="s">
        <v>1267</v>
      </c>
      <c r="I508" t="s">
        <v>2426</v>
      </c>
      <c r="M508" t="s">
        <v>4210</v>
      </c>
    </row>
    <row r="509" spans="1:13" x14ac:dyDescent="0.3">
      <c r="A509" t="s">
        <v>2323</v>
      </c>
      <c r="B509" t="s">
        <v>2324</v>
      </c>
      <c r="C509">
        <v>508073</v>
      </c>
      <c r="D509">
        <v>101140272</v>
      </c>
      <c r="E509" t="s">
        <v>2325</v>
      </c>
      <c r="G509" t="s">
        <v>2198</v>
      </c>
      <c r="H509" t="s">
        <v>1146</v>
      </c>
      <c r="I509" t="s">
        <v>2326</v>
      </c>
      <c r="J509" t="s">
        <v>2901</v>
      </c>
    </row>
    <row r="510" spans="1:13" x14ac:dyDescent="0.3">
      <c r="A510" t="s">
        <v>2327</v>
      </c>
      <c r="B510" t="s">
        <v>2324</v>
      </c>
      <c r="C510">
        <v>508073</v>
      </c>
      <c r="D510">
        <v>101140271</v>
      </c>
      <c r="G510" t="s">
        <v>2198</v>
      </c>
      <c r="H510" t="s">
        <v>1161</v>
      </c>
      <c r="I510" t="s">
        <v>2290</v>
      </c>
      <c r="J510" t="s">
        <v>2200</v>
      </c>
      <c r="K510" t="s">
        <v>2328</v>
      </c>
    </row>
    <row r="511" spans="1:13" x14ac:dyDescent="0.3">
      <c r="A511" t="s">
        <v>459</v>
      </c>
      <c r="B511" t="s">
        <v>2324</v>
      </c>
      <c r="C511">
        <v>508073</v>
      </c>
      <c r="D511">
        <v>100727905</v>
      </c>
      <c r="E511" t="s">
        <v>461</v>
      </c>
      <c r="F511" t="s">
        <v>2329</v>
      </c>
      <c r="G511" t="s">
        <v>2198</v>
      </c>
      <c r="H511" t="s">
        <v>1238</v>
      </c>
      <c r="I511" t="s">
        <v>2330</v>
      </c>
      <c r="K511" t="s">
        <v>2331</v>
      </c>
      <c r="M511" t="s">
        <v>2332</v>
      </c>
    </row>
    <row r="512" spans="1:13" x14ac:dyDescent="0.3">
      <c r="A512" t="s">
        <v>2333</v>
      </c>
      <c r="B512" t="s">
        <v>2324</v>
      </c>
      <c r="C512">
        <v>508073</v>
      </c>
      <c r="D512">
        <v>101134681</v>
      </c>
      <c r="E512" t="s">
        <v>2334</v>
      </c>
      <c r="G512" t="s">
        <v>2198</v>
      </c>
      <c r="H512" t="s">
        <v>1084</v>
      </c>
      <c r="I512" t="s">
        <v>2335</v>
      </c>
      <c r="J512" t="s">
        <v>2898</v>
      </c>
    </row>
    <row r="513" spans="1:13" x14ac:dyDescent="0.3">
      <c r="A513" t="s">
        <v>464</v>
      </c>
      <c r="B513" t="s">
        <v>2324</v>
      </c>
      <c r="C513">
        <v>508073</v>
      </c>
      <c r="D513">
        <v>100727909</v>
      </c>
      <c r="E513" t="s">
        <v>465</v>
      </c>
      <c r="G513" t="s">
        <v>2198</v>
      </c>
      <c r="H513" t="s">
        <v>2253</v>
      </c>
      <c r="I513" t="s">
        <v>2336</v>
      </c>
      <c r="K513" t="s">
        <v>2337</v>
      </c>
    </row>
    <row r="514" spans="1:13" x14ac:dyDescent="0.3">
      <c r="A514" t="s">
        <v>466</v>
      </c>
      <c r="B514" t="s">
        <v>2324</v>
      </c>
      <c r="C514">
        <v>508073</v>
      </c>
      <c r="D514">
        <v>100728022</v>
      </c>
      <c r="E514" t="s">
        <v>467</v>
      </c>
      <c r="F514" t="s">
        <v>2338</v>
      </c>
      <c r="G514" t="s">
        <v>2198</v>
      </c>
      <c r="H514" t="s">
        <v>1241</v>
      </c>
      <c r="I514" t="s">
        <v>2339</v>
      </c>
      <c r="J514" t="s">
        <v>2898</v>
      </c>
      <c r="K514" t="s">
        <v>2340</v>
      </c>
      <c r="M514" t="s">
        <v>2341</v>
      </c>
    </row>
    <row r="515" spans="1:13" x14ac:dyDescent="0.3">
      <c r="A515" t="s">
        <v>469</v>
      </c>
      <c r="B515" t="s">
        <v>2324</v>
      </c>
      <c r="C515">
        <v>508073</v>
      </c>
      <c r="D515">
        <v>100727902</v>
      </c>
      <c r="G515" t="s">
        <v>2198</v>
      </c>
      <c r="H515" t="s">
        <v>1238</v>
      </c>
      <c r="I515" t="s">
        <v>2342</v>
      </c>
      <c r="K515" t="s">
        <v>2343</v>
      </c>
      <c r="L515" t="s">
        <v>2344</v>
      </c>
      <c r="M515" t="s">
        <v>2345</v>
      </c>
    </row>
    <row r="516" spans="1:13" x14ac:dyDescent="0.3">
      <c r="A516" t="s">
        <v>470</v>
      </c>
      <c r="B516" t="s">
        <v>2324</v>
      </c>
      <c r="C516">
        <v>508073</v>
      </c>
      <c r="D516">
        <v>100728021</v>
      </c>
      <c r="E516" t="s">
        <v>471</v>
      </c>
      <c r="F516" t="s">
        <v>2346</v>
      </c>
      <c r="G516" t="s">
        <v>2198</v>
      </c>
      <c r="H516" t="s">
        <v>2347</v>
      </c>
      <c r="I516" t="s">
        <v>2348</v>
      </c>
      <c r="J516" t="s">
        <v>2898</v>
      </c>
      <c r="L516" t="s">
        <v>2349</v>
      </c>
      <c r="M516" t="s">
        <v>2350</v>
      </c>
    </row>
    <row r="517" spans="1:13" x14ac:dyDescent="0.3">
      <c r="A517" t="s">
        <v>473</v>
      </c>
      <c r="B517" t="s">
        <v>2324</v>
      </c>
      <c r="C517">
        <v>508073</v>
      </c>
      <c r="D517">
        <v>100728023</v>
      </c>
      <c r="E517" t="s">
        <v>474</v>
      </c>
      <c r="F517" t="s">
        <v>2351</v>
      </c>
      <c r="G517" t="s">
        <v>2198</v>
      </c>
      <c r="H517" t="s">
        <v>1162</v>
      </c>
      <c r="I517" t="s">
        <v>2352</v>
      </c>
      <c r="J517" t="s">
        <v>2898</v>
      </c>
      <c r="K517" t="s">
        <v>2353</v>
      </c>
      <c r="M517" t="s">
        <v>2354</v>
      </c>
    </row>
    <row r="518" spans="1:13" x14ac:dyDescent="0.3">
      <c r="A518" t="s">
        <v>2355</v>
      </c>
      <c r="B518" t="s">
        <v>2324</v>
      </c>
      <c r="C518">
        <v>508073</v>
      </c>
      <c r="D518">
        <v>101128164</v>
      </c>
      <c r="E518" t="s">
        <v>2356</v>
      </c>
      <c r="G518" t="s">
        <v>2198</v>
      </c>
      <c r="H518" t="s">
        <v>1138</v>
      </c>
      <c r="I518" t="s">
        <v>2357</v>
      </c>
    </row>
    <row r="519" spans="1:13" x14ac:dyDescent="0.3">
      <c r="A519" t="s">
        <v>2584</v>
      </c>
      <c r="B519" t="s">
        <v>2324</v>
      </c>
      <c r="C519">
        <v>508073</v>
      </c>
      <c r="D519">
        <v>120090373</v>
      </c>
      <c r="G519" t="s">
        <v>2198</v>
      </c>
      <c r="H519" t="s">
        <v>2585</v>
      </c>
      <c r="I519" t="s">
        <v>2586</v>
      </c>
      <c r="L519" t="s">
        <v>2587</v>
      </c>
    </row>
    <row r="520" spans="1:13" x14ac:dyDescent="0.3">
      <c r="A520" t="s">
        <v>476</v>
      </c>
      <c r="B520" t="s">
        <v>2324</v>
      </c>
      <c r="C520">
        <v>508073</v>
      </c>
      <c r="D520">
        <v>100728024</v>
      </c>
      <c r="E520" t="s">
        <v>477</v>
      </c>
      <c r="F520" t="s">
        <v>2588</v>
      </c>
      <c r="G520" t="s">
        <v>2198</v>
      </c>
      <c r="H520" t="s">
        <v>1278</v>
      </c>
      <c r="I520" t="s">
        <v>2589</v>
      </c>
      <c r="J520" t="s">
        <v>2200</v>
      </c>
    </row>
    <row r="521" spans="1:13" x14ac:dyDescent="0.3">
      <c r="A521" t="s">
        <v>479</v>
      </c>
      <c r="B521" t="s">
        <v>2324</v>
      </c>
      <c r="C521">
        <v>508073</v>
      </c>
      <c r="D521">
        <v>100727904</v>
      </c>
      <c r="E521" t="s">
        <v>480</v>
      </c>
      <c r="G521" t="s">
        <v>2198</v>
      </c>
      <c r="H521" t="s">
        <v>1084</v>
      </c>
      <c r="I521" t="s">
        <v>2590</v>
      </c>
      <c r="K521" t="s">
        <v>2591</v>
      </c>
      <c r="L521" t="s">
        <v>2592</v>
      </c>
      <c r="M521" t="s">
        <v>2593</v>
      </c>
    </row>
    <row r="522" spans="1:13" x14ac:dyDescent="0.3">
      <c r="A522" t="s">
        <v>2188</v>
      </c>
      <c r="B522" t="s">
        <v>2324</v>
      </c>
      <c r="C522">
        <v>508073</v>
      </c>
      <c r="D522">
        <v>120172027</v>
      </c>
      <c r="E522" t="s">
        <v>2594</v>
      </c>
      <c r="G522" t="s">
        <v>2198</v>
      </c>
      <c r="H522" t="s">
        <v>1146</v>
      </c>
      <c r="I522" t="s">
        <v>2595</v>
      </c>
      <c r="J522" t="s">
        <v>2200</v>
      </c>
    </row>
    <row r="523" spans="1:13" x14ac:dyDescent="0.3">
      <c r="A523" t="s">
        <v>2596</v>
      </c>
      <c r="B523" t="s">
        <v>2324</v>
      </c>
      <c r="C523">
        <v>508073</v>
      </c>
      <c r="D523">
        <v>101134680</v>
      </c>
      <c r="E523" t="s">
        <v>2597</v>
      </c>
      <c r="G523" t="s">
        <v>2198</v>
      </c>
      <c r="H523" t="s">
        <v>2598</v>
      </c>
      <c r="I523" t="s">
        <v>2599</v>
      </c>
      <c r="J523" t="s">
        <v>2898</v>
      </c>
      <c r="K523" t="s">
        <v>2600</v>
      </c>
      <c r="L523" t="s">
        <v>2601</v>
      </c>
    </row>
    <row r="524" spans="1:13" x14ac:dyDescent="0.3">
      <c r="A524" t="s">
        <v>2602</v>
      </c>
      <c r="B524" t="s">
        <v>2324</v>
      </c>
      <c r="C524">
        <v>508073</v>
      </c>
      <c r="D524">
        <v>101140273</v>
      </c>
      <c r="E524" t="s">
        <v>2603</v>
      </c>
      <c r="G524" t="s">
        <v>2198</v>
      </c>
      <c r="H524" t="s">
        <v>2382</v>
      </c>
      <c r="I524" t="s">
        <v>2604</v>
      </c>
      <c r="J524" t="s">
        <v>2200</v>
      </c>
    </row>
    <row r="525" spans="1:13" x14ac:dyDescent="0.3">
      <c r="A525" t="s">
        <v>2605</v>
      </c>
      <c r="B525" t="s">
        <v>2324</v>
      </c>
      <c r="C525">
        <v>508073</v>
      </c>
      <c r="D525">
        <v>101140270</v>
      </c>
      <c r="E525" t="s">
        <v>2606</v>
      </c>
      <c r="G525" t="s">
        <v>2198</v>
      </c>
      <c r="H525" t="s">
        <v>1136</v>
      </c>
      <c r="I525" t="s">
        <v>2607</v>
      </c>
      <c r="J525" t="s">
        <v>2200</v>
      </c>
    </row>
    <row r="526" spans="1:13" x14ac:dyDescent="0.3">
      <c r="A526" t="s">
        <v>481</v>
      </c>
      <c r="B526" t="s">
        <v>2324</v>
      </c>
      <c r="C526">
        <v>508073</v>
      </c>
      <c r="D526">
        <v>100727903</v>
      </c>
      <c r="E526" t="s">
        <v>482</v>
      </c>
      <c r="G526" t="s">
        <v>2198</v>
      </c>
      <c r="H526" t="s">
        <v>1162</v>
      </c>
      <c r="I526" t="s">
        <v>2608</v>
      </c>
      <c r="K526" t="s">
        <v>2431</v>
      </c>
      <c r="L526" t="s">
        <v>2609</v>
      </c>
      <c r="M526" t="s">
        <v>2345</v>
      </c>
    </row>
    <row r="527" spans="1:13" x14ac:dyDescent="0.3">
      <c r="A527" t="s">
        <v>2860</v>
      </c>
      <c r="B527" t="s">
        <v>2324</v>
      </c>
      <c r="C527">
        <v>508073</v>
      </c>
      <c r="D527">
        <v>120172602</v>
      </c>
      <c r="E527" t="s">
        <v>2861</v>
      </c>
      <c r="F527" t="s">
        <v>4235</v>
      </c>
      <c r="G527" t="s">
        <v>2198</v>
      </c>
      <c r="H527" t="s">
        <v>2863</v>
      </c>
      <c r="I527" t="s">
        <v>2864</v>
      </c>
      <c r="J527" t="s">
        <v>2200</v>
      </c>
      <c r="L527" t="s">
        <v>4236</v>
      </c>
    </row>
    <row r="528" spans="1:13" x14ac:dyDescent="0.3">
      <c r="A528" t="s">
        <v>483</v>
      </c>
      <c r="B528" t="s">
        <v>2324</v>
      </c>
      <c r="C528">
        <v>508073</v>
      </c>
      <c r="D528">
        <v>101060393</v>
      </c>
      <c r="E528" t="s">
        <v>484</v>
      </c>
      <c r="F528" t="s">
        <v>2610</v>
      </c>
      <c r="G528" t="s">
        <v>2198</v>
      </c>
      <c r="H528" t="s">
        <v>1093</v>
      </c>
      <c r="I528" t="s">
        <v>2611</v>
      </c>
      <c r="J528" t="s">
        <v>2898</v>
      </c>
    </row>
    <row r="529" spans="1:13" x14ac:dyDescent="0.3">
      <c r="A529" t="s">
        <v>486</v>
      </c>
      <c r="B529" t="s">
        <v>2324</v>
      </c>
      <c r="C529">
        <v>508073</v>
      </c>
      <c r="D529">
        <v>100728020</v>
      </c>
      <c r="E529" t="s">
        <v>487</v>
      </c>
      <c r="F529" t="s">
        <v>2612</v>
      </c>
      <c r="G529" t="s">
        <v>2198</v>
      </c>
      <c r="H529" t="s">
        <v>1358</v>
      </c>
      <c r="I529" t="s">
        <v>2613</v>
      </c>
      <c r="J529" t="s">
        <v>2898</v>
      </c>
      <c r="K529" t="s">
        <v>2592</v>
      </c>
      <c r="M529" t="s">
        <v>2614</v>
      </c>
    </row>
    <row r="530" spans="1:13" x14ac:dyDescent="0.3">
      <c r="A530" t="s">
        <v>489</v>
      </c>
      <c r="B530" t="s">
        <v>2324</v>
      </c>
      <c r="C530">
        <v>508073</v>
      </c>
      <c r="D530">
        <v>100727906</v>
      </c>
      <c r="E530" t="s">
        <v>490</v>
      </c>
      <c r="F530" t="s">
        <v>2615</v>
      </c>
      <c r="G530" t="s">
        <v>2198</v>
      </c>
      <c r="H530" t="s">
        <v>1169</v>
      </c>
      <c r="I530" t="s">
        <v>2616</v>
      </c>
      <c r="K530" t="s">
        <v>2617</v>
      </c>
      <c r="M530" t="s">
        <v>2618</v>
      </c>
    </row>
    <row r="531" spans="1:13" x14ac:dyDescent="0.3">
      <c r="A531" t="s">
        <v>494</v>
      </c>
      <c r="B531" t="s">
        <v>2324</v>
      </c>
      <c r="C531">
        <v>508073</v>
      </c>
      <c r="D531">
        <v>100727908</v>
      </c>
      <c r="E531" t="s">
        <v>495</v>
      </c>
      <c r="G531" t="s">
        <v>2198</v>
      </c>
      <c r="H531" t="s">
        <v>2619</v>
      </c>
      <c r="I531" t="s">
        <v>2620</v>
      </c>
      <c r="K531" t="s">
        <v>2591</v>
      </c>
    </row>
    <row r="532" spans="1:13" x14ac:dyDescent="0.3">
      <c r="A532" t="s">
        <v>492</v>
      </c>
      <c r="B532" t="s">
        <v>2324</v>
      </c>
      <c r="C532">
        <v>508073</v>
      </c>
      <c r="D532">
        <v>100727907</v>
      </c>
      <c r="E532" t="s">
        <v>493</v>
      </c>
      <c r="G532" t="s">
        <v>2198</v>
      </c>
      <c r="H532" t="s">
        <v>2621</v>
      </c>
      <c r="I532" t="s">
        <v>2620</v>
      </c>
      <c r="K532" t="s">
        <v>2622</v>
      </c>
      <c r="M532" t="s">
        <v>2623</v>
      </c>
    </row>
    <row r="533" spans="1:13" x14ac:dyDescent="0.3">
      <c r="A533" t="s">
        <v>496</v>
      </c>
      <c r="B533" t="s">
        <v>2324</v>
      </c>
      <c r="C533">
        <v>508073</v>
      </c>
      <c r="D533">
        <v>101029197</v>
      </c>
      <c r="E533" t="s">
        <v>497</v>
      </c>
      <c r="G533" t="s">
        <v>2198</v>
      </c>
      <c r="H533" t="s">
        <v>2624</v>
      </c>
      <c r="I533" t="s">
        <v>2625</v>
      </c>
    </row>
    <row r="534" spans="1:13" x14ac:dyDescent="0.3">
      <c r="A534" t="s">
        <v>1915</v>
      </c>
      <c r="B534" t="s">
        <v>1916</v>
      </c>
      <c r="C534">
        <v>120081833</v>
      </c>
      <c r="D534">
        <v>120081984</v>
      </c>
      <c r="E534" t="s">
        <v>1917</v>
      </c>
      <c r="G534" t="s">
        <v>2198</v>
      </c>
      <c r="H534" t="s">
        <v>1113</v>
      </c>
      <c r="I534" t="s">
        <v>2259</v>
      </c>
      <c r="J534" t="s">
        <v>2200</v>
      </c>
    </row>
    <row r="535" spans="1:13" x14ac:dyDescent="0.3">
      <c r="A535" t="s">
        <v>5165</v>
      </c>
      <c r="B535" t="s">
        <v>1916</v>
      </c>
      <c r="C535">
        <v>120081833</v>
      </c>
      <c r="D535">
        <v>120081983</v>
      </c>
      <c r="E535" t="s">
        <v>5166</v>
      </c>
      <c r="G535" t="s">
        <v>2198</v>
      </c>
      <c r="H535" t="s">
        <v>5167</v>
      </c>
      <c r="I535" t="s">
        <v>4764</v>
      </c>
      <c r="J535" t="s">
        <v>2200</v>
      </c>
    </row>
    <row r="536" spans="1:13" x14ac:dyDescent="0.3">
      <c r="A536" t="s">
        <v>5168</v>
      </c>
      <c r="B536" t="s">
        <v>1916</v>
      </c>
      <c r="C536">
        <v>120081833</v>
      </c>
      <c r="D536">
        <v>120081844</v>
      </c>
      <c r="E536" t="s">
        <v>5169</v>
      </c>
      <c r="F536" t="s">
        <v>5170</v>
      </c>
      <c r="G536" t="s">
        <v>2198</v>
      </c>
      <c r="H536" t="s">
        <v>18</v>
      </c>
      <c r="I536" t="s">
        <v>2445</v>
      </c>
      <c r="J536" t="s">
        <v>2200</v>
      </c>
      <c r="L536" t="s">
        <v>2750</v>
      </c>
    </row>
    <row r="537" spans="1:13" x14ac:dyDescent="0.3">
      <c r="A537" t="s">
        <v>5171</v>
      </c>
      <c r="B537" t="s">
        <v>1916</v>
      </c>
      <c r="C537">
        <v>120081833</v>
      </c>
      <c r="D537">
        <v>120081843</v>
      </c>
      <c r="E537" t="s">
        <v>5172</v>
      </c>
      <c r="F537" t="s">
        <v>5170</v>
      </c>
      <c r="G537" t="s">
        <v>2198</v>
      </c>
      <c r="H537" t="s">
        <v>1089</v>
      </c>
      <c r="I537" t="s">
        <v>5173</v>
      </c>
      <c r="J537" t="s">
        <v>2200</v>
      </c>
      <c r="L537" t="s">
        <v>2750</v>
      </c>
    </row>
    <row r="538" spans="1:13" x14ac:dyDescent="0.3">
      <c r="A538" t="s">
        <v>2859</v>
      </c>
      <c r="B538" t="s">
        <v>2820</v>
      </c>
      <c r="C538">
        <v>120081834</v>
      </c>
      <c r="D538">
        <v>120112665</v>
      </c>
      <c r="E538" t="s">
        <v>2821</v>
      </c>
      <c r="G538" t="s">
        <v>2198</v>
      </c>
      <c r="H538" t="s">
        <v>1129</v>
      </c>
      <c r="I538" t="s">
        <v>2847</v>
      </c>
      <c r="J538" t="s">
        <v>2200</v>
      </c>
    </row>
    <row r="539" spans="1:13" x14ac:dyDescent="0.3">
      <c r="A539" t="s">
        <v>2822</v>
      </c>
      <c r="B539" t="s">
        <v>2820</v>
      </c>
      <c r="C539">
        <v>120081834</v>
      </c>
      <c r="D539">
        <v>120112664</v>
      </c>
      <c r="E539" t="s">
        <v>2823</v>
      </c>
      <c r="G539" t="s">
        <v>2198</v>
      </c>
      <c r="H539" t="s">
        <v>2409</v>
      </c>
      <c r="I539" t="s">
        <v>2348</v>
      </c>
      <c r="J539" t="s">
        <v>2200</v>
      </c>
    </row>
    <row r="540" spans="1:13" x14ac:dyDescent="0.3">
      <c r="A540" t="s">
        <v>2824</v>
      </c>
      <c r="B540" t="s">
        <v>2820</v>
      </c>
      <c r="C540">
        <v>120081834</v>
      </c>
      <c r="D540">
        <v>120112663</v>
      </c>
      <c r="E540" t="s">
        <v>2825</v>
      </c>
      <c r="G540" t="s">
        <v>2198</v>
      </c>
      <c r="H540" t="s">
        <v>2848</v>
      </c>
      <c r="I540" t="s">
        <v>2849</v>
      </c>
      <c r="J540" t="s">
        <v>2200</v>
      </c>
    </row>
    <row r="541" spans="1:13" x14ac:dyDescent="0.3">
      <c r="A541" t="s">
        <v>2826</v>
      </c>
      <c r="B541" t="s">
        <v>2820</v>
      </c>
      <c r="C541">
        <v>120081834</v>
      </c>
      <c r="D541">
        <v>120112666</v>
      </c>
      <c r="E541" t="s">
        <v>2827</v>
      </c>
      <c r="G541" t="s">
        <v>2198</v>
      </c>
      <c r="H541" t="s">
        <v>2850</v>
      </c>
      <c r="I541" t="s">
        <v>2407</v>
      </c>
      <c r="J541" t="s">
        <v>2200</v>
      </c>
    </row>
    <row r="542" spans="1:13" x14ac:dyDescent="0.3">
      <c r="A542" t="s">
        <v>61</v>
      </c>
      <c r="B542" t="s">
        <v>62</v>
      </c>
      <c r="C542">
        <v>535466</v>
      </c>
      <c r="D542">
        <v>100750350</v>
      </c>
      <c r="E542" t="s">
        <v>5174</v>
      </c>
      <c r="G542" t="s">
        <v>2198</v>
      </c>
      <c r="H542" t="s">
        <v>1256</v>
      </c>
      <c r="I542" t="s">
        <v>3055</v>
      </c>
      <c r="K542" t="s">
        <v>2431</v>
      </c>
      <c r="L542" t="s">
        <v>2455</v>
      </c>
      <c r="M542" t="s">
        <v>5175</v>
      </c>
    </row>
    <row r="543" spans="1:13" x14ac:dyDescent="0.3">
      <c r="A543" t="s">
        <v>63</v>
      </c>
      <c r="B543" t="s">
        <v>62</v>
      </c>
      <c r="C543">
        <v>535466</v>
      </c>
      <c r="D543">
        <v>100750351</v>
      </c>
      <c r="E543" t="s">
        <v>5176</v>
      </c>
      <c r="G543" t="s">
        <v>2198</v>
      </c>
      <c r="H543" t="s">
        <v>5177</v>
      </c>
      <c r="I543" t="s">
        <v>5178</v>
      </c>
      <c r="M543" t="s">
        <v>5179</v>
      </c>
    </row>
    <row r="544" spans="1:13" x14ac:dyDescent="0.3">
      <c r="A544" t="s">
        <v>5180</v>
      </c>
      <c r="B544" t="s">
        <v>62</v>
      </c>
      <c r="C544">
        <v>535466</v>
      </c>
      <c r="D544">
        <v>100750349</v>
      </c>
      <c r="G544" t="s">
        <v>2198</v>
      </c>
      <c r="H544" t="s">
        <v>1089</v>
      </c>
      <c r="I544" t="s">
        <v>2275</v>
      </c>
      <c r="K544" t="s">
        <v>2431</v>
      </c>
      <c r="L544" t="s">
        <v>4395</v>
      </c>
      <c r="M544" t="s">
        <v>5175</v>
      </c>
    </row>
    <row r="545" spans="1:13" x14ac:dyDescent="0.3">
      <c r="A545" t="s">
        <v>2358</v>
      </c>
      <c r="B545" t="s">
        <v>2359</v>
      </c>
      <c r="C545">
        <v>7487916</v>
      </c>
      <c r="D545">
        <v>101134704</v>
      </c>
      <c r="E545" t="s">
        <v>2360</v>
      </c>
      <c r="G545" t="s">
        <v>2198</v>
      </c>
      <c r="H545" t="s">
        <v>1256</v>
      </c>
      <c r="I545" t="s">
        <v>2361</v>
      </c>
      <c r="J545" t="s">
        <v>2200</v>
      </c>
      <c r="M545" t="s">
        <v>2362</v>
      </c>
    </row>
    <row r="546" spans="1:13" x14ac:dyDescent="0.3">
      <c r="A546" t="s">
        <v>133</v>
      </c>
      <c r="B546" t="s">
        <v>2359</v>
      </c>
      <c r="C546">
        <v>7487916</v>
      </c>
      <c r="D546">
        <v>101058760</v>
      </c>
      <c r="E546" t="s">
        <v>134</v>
      </c>
      <c r="G546" t="s">
        <v>2198</v>
      </c>
      <c r="H546" t="s">
        <v>1141</v>
      </c>
      <c r="I546" t="s">
        <v>2363</v>
      </c>
      <c r="M546" t="s">
        <v>2362</v>
      </c>
    </row>
    <row r="547" spans="1:13" x14ac:dyDescent="0.3">
      <c r="A547" t="s">
        <v>2364</v>
      </c>
      <c r="B547" t="s">
        <v>2359</v>
      </c>
      <c r="C547">
        <v>7487916</v>
      </c>
      <c r="D547">
        <v>101140292</v>
      </c>
      <c r="E547" t="s">
        <v>2365</v>
      </c>
      <c r="G547" t="s">
        <v>2198</v>
      </c>
      <c r="H547" t="s">
        <v>1238</v>
      </c>
      <c r="I547" t="s">
        <v>2366</v>
      </c>
      <c r="M547" t="s">
        <v>2362</v>
      </c>
    </row>
    <row r="548" spans="1:13" x14ac:dyDescent="0.3">
      <c r="A548" t="s">
        <v>2367</v>
      </c>
      <c r="B548" t="s">
        <v>2359</v>
      </c>
      <c r="C548">
        <v>7487916</v>
      </c>
      <c r="D548">
        <v>101134706</v>
      </c>
      <c r="E548" t="s">
        <v>2368</v>
      </c>
      <c r="G548" t="s">
        <v>2198</v>
      </c>
      <c r="H548" t="s">
        <v>2259</v>
      </c>
      <c r="I548" t="s">
        <v>2369</v>
      </c>
      <c r="J548" t="s">
        <v>2200</v>
      </c>
      <c r="M548" t="s">
        <v>2362</v>
      </c>
    </row>
    <row r="549" spans="1:13" x14ac:dyDescent="0.3">
      <c r="A549" t="s">
        <v>136</v>
      </c>
      <c r="B549" t="s">
        <v>2359</v>
      </c>
      <c r="C549">
        <v>7487916</v>
      </c>
      <c r="D549">
        <v>101058766</v>
      </c>
      <c r="E549" t="s">
        <v>137</v>
      </c>
      <c r="G549" t="s">
        <v>2198</v>
      </c>
      <c r="H549" t="s">
        <v>2370</v>
      </c>
      <c r="I549" t="s">
        <v>2371</v>
      </c>
      <c r="M549" t="s">
        <v>2362</v>
      </c>
    </row>
    <row r="550" spans="1:13" x14ac:dyDescent="0.3">
      <c r="A550" t="s">
        <v>2372</v>
      </c>
      <c r="B550" t="s">
        <v>2359</v>
      </c>
      <c r="C550">
        <v>7487916</v>
      </c>
      <c r="D550">
        <v>120043507</v>
      </c>
      <c r="E550" t="s">
        <v>2373</v>
      </c>
      <c r="G550" t="s">
        <v>2198</v>
      </c>
      <c r="H550" t="s">
        <v>2374</v>
      </c>
      <c r="I550" t="s">
        <v>2375</v>
      </c>
      <c r="K550" t="s">
        <v>2376</v>
      </c>
      <c r="L550" t="s">
        <v>2377</v>
      </c>
      <c r="M550" t="s">
        <v>2378</v>
      </c>
    </row>
    <row r="551" spans="1:13" x14ac:dyDescent="0.3">
      <c r="A551" t="s">
        <v>2173</v>
      </c>
      <c r="B551" t="s">
        <v>2359</v>
      </c>
      <c r="C551">
        <v>7487916</v>
      </c>
      <c r="D551">
        <v>120172005</v>
      </c>
      <c r="E551" t="s">
        <v>2379</v>
      </c>
      <c r="G551" t="s">
        <v>2198</v>
      </c>
      <c r="H551" t="s">
        <v>2380</v>
      </c>
      <c r="I551" t="s">
        <v>2381</v>
      </c>
      <c r="J551" t="s">
        <v>2200</v>
      </c>
    </row>
    <row r="552" spans="1:13" x14ac:dyDescent="0.3">
      <c r="A552" t="s">
        <v>138</v>
      </c>
      <c r="B552" t="s">
        <v>2359</v>
      </c>
      <c r="C552">
        <v>7487916</v>
      </c>
      <c r="D552">
        <v>101058763</v>
      </c>
      <c r="E552" t="s">
        <v>139</v>
      </c>
      <c r="G552" t="s">
        <v>2198</v>
      </c>
      <c r="H552" t="s">
        <v>2382</v>
      </c>
      <c r="I552" t="s">
        <v>2383</v>
      </c>
      <c r="M552" t="s">
        <v>2362</v>
      </c>
    </row>
    <row r="553" spans="1:13" x14ac:dyDescent="0.3">
      <c r="A553" t="s">
        <v>140</v>
      </c>
      <c r="B553" t="s">
        <v>2359</v>
      </c>
      <c r="C553">
        <v>7487916</v>
      </c>
      <c r="D553">
        <v>101058780</v>
      </c>
      <c r="E553" t="s">
        <v>141</v>
      </c>
      <c r="G553" t="s">
        <v>2198</v>
      </c>
      <c r="H553" t="s">
        <v>1089</v>
      </c>
      <c r="I553" t="s">
        <v>2384</v>
      </c>
      <c r="M553" t="s">
        <v>2362</v>
      </c>
    </row>
    <row r="554" spans="1:13" x14ac:dyDescent="0.3">
      <c r="A554" t="s">
        <v>2175</v>
      </c>
      <c r="B554" t="s">
        <v>2359</v>
      </c>
      <c r="C554">
        <v>7487916</v>
      </c>
      <c r="D554">
        <v>120172007</v>
      </c>
      <c r="E554" t="s">
        <v>2385</v>
      </c>
      <c r="G554" t="s">
        <v>2386</v>
      </c>
      <c r="H554" t="s">
        <v>2387</v>
      </c>
      <c r="I554" t="s">
        <v>2388</v>
      </c>
      <c r="J554" t="s">
        <v>2200</v>
      </c>
    </row>
    <row r="555" spans="1:13" x14ac:dyDescent="0.3">
      <c r="A555" t="s">
        <v>142</v>
      </c>
      <c r="B555" t="s">
        <v>2359</v>
      </c>
      <c r="C555">
        <v>7487916</v>
      </c>
      <c r="D555">
        <v>101058762</v>
      </c>
      <c r="E555" t="s">
        <v>143</v>
      </c>
      <c r="G555" t="s">
        <v>2198</v>
      </c>
      <c r="H555" t="s">
        <v>1161</v>
      </c>
      <c r="I555" t="s">
        <v>2626</v>
      </c>
      <c r="M555" t="s">
        <v>2362</v>
      </c>
    </row>
    <row r="556" spans="1:13" x14ac:dyDescent="0.3">
      <c r="A556" t="s">
        <v>144</v>
      </c>
      <c r="B556" t="s">
        <v>2359</v>
      </c>
      <c r="C556">
        <v>7487916</v>
      </c>
      <c r="D556">
        <v>101058747</v>
      </c>
      <c r="E556" t="s">
        <v>145</v>
      </c>
      <c r="G556" t="s">
        <v>2198</v>
      </c>
      <c r="H556" t="s">
        <v>1131</v>
      </c>
      <c r="I556" t="s">
        <v>2627</v>
      </c>
      <c r="M556" t="s">
        <v>2362</v>
      </c>
    </row>
    <row r="557" spans="1:13" x14ac:dyDescent="0.3">
      <c r="A557" t="s">
        <v>2628</v>
      </c>
      <c r="B557" t="s">
        <v>2359</v>
      </c>
      <c r="C557">
        <v>7487916</v>
      </c>
      <c r="D557">
        <v>101134703</v>
      </c>
      <c r="E557" t="s">
        <v>2629</v>
      </c>
      <c r="G557" t="s">
        <v>2198</v>
      </c>
      <c r="H557" t="s">
        <v>2630</v>
      </c>
      <c r="I557" t="s">
        <v>2631</v>
      </c>
      <c r="J557" t="s">
        <v>2898</v>
      </c>
      <c r="M557" t="s">
        <v>2362</v>
      </c>
    </row>
    <row r="558" spans="1:13" x14ac:dyDescent="0.3">
      <c r="A558" t="s">
        <v>2632</v>
      </c>
      <c r="B558" t="s">
        <v>2359</v>
      </c>
      <c r="C558">
        <v>7487916</v>
      </c>
      <c r="D558">
        <v>101140290</v>
      </c>
      <c r="E558" t="s">
        <v>2633</v>
      </c>
      <c r="G558" t="s">
        <v>2198</v>
      </c>
      <c r="H558" t="s">
        <v>2634</v>
      </c>
      <c r="I558" t="s">
        <v>2635</v>
      </c>
      <c r="M558" t="s">
        <v>2362</v>
      </c>
    </row>
    <row r="559" spans="1:13" x14ac:dyDescent="0.3">
      <c r="A559" t="s">
        <v>2636</v>
      </c>
      <c r="B559" t="s">
        <v>2359</v>
      </c>
      <c r="C559">
        <v>7487916</v>
      </c>
      <c r="D559">
        <v>120172008</v>
      </c>
      <c r="E559" t="s">
        <v>2637</v>
      </c>
      <c r="G559" t="s">
        <v>2198</v>
      </c>
      <c r="H559" t="s">
        <v>2469</v>
      </c>
      <c r="I559" t="s">
        <v>2638</v>
      </c>
      <c r="J559" t="s">
        <v>2200</v>
      </c>
    </row>
    <row r="560" spans="1:13" x14ac:dyDescent="0.3">
      <c r="A560" t="s">
        <v>146</v>
      </c>
      <c r="B560" t="s">
        <v>2359</v>
      </c>
      <c r="C560">
        <v>7487916</v>
      </c>
      <c r="D560">
        <v>101058728</v>
      </c>
      <c r="E560" t="s">
        <v>147</v>
      </c>
      <c r="G560" t="s">
        <v>2198</v>
      </c>
      <c r="H560" t="s">
        <v>2639</v>
      </c>
      <c r="I560" t="s">
        <v>1212</v>
      </c>
      <c r="M560" t="s">
        <v>2362</v>
      </c>
    </row>
    <row r="561" spans="1:13" x14ac:dyDescent="0.3">
      <c r="A561" t="s">
        <v>148</v>
      </c>
      <c r="B561" t="s">
        <v>2359</v>
      </c>
      <c r="C561">
        <v>7487916</v>
      </c>
      <c r="D561">
        <v>101058746</v>
      </c>
      <c r="E561" t="s">
        <v>149</v>
      </c>
      <c r="G561" t="s">
        <v>2198</v>
      </c>
      <c r="H561" t="s">
        <v>1226</v>
      </c>
      <c r="I561" t="s">
        <v>2640</v>
      </c>
      <c r="M561" t="s">
        <v>2362</v>
      </c>
    </row>
    <row r="562" spans="1:13" x14ac:dyDescent="0.3">
      <c r="A562" t="s">
        <v>2641</v>
      </c>
      <c r="B562" t="s">
        <v>2359</v>
      </c>
      <c r="C562">
        <v>7487916</v>
      </c>
      <c r="D562">
        <v>101140291</v>
      </c>
      <c r="E562" t="s">
        <v>2642</v>
      </c>
      <c r="G562" t="s">
        <v>2198</v>
      </c>
      <c r="H562" t="s">
        <v>2643</v>
      </c>
      <c r="I562" t="s">
        <v>2407</v>
      </c>
      <c r="M562" t="s">
        <v>2362</v>
      </c>
    </row>
    <row r="563" spans="1:13" x14ac:dyDescent="0.3">
      <c r="A563" t="s">
        <v>150</v>
      </c>
      <c r="B563" t="s">
        <v>2359</v>
      </c>
      <c r="C563">
        <v>7487916</v>
      </c>
      <c r="D563">
        <v>101058770</v>
      </c>
      <c r="E563" t="s">
        <v>151</v>
      </c>
      <c r="G563" t="s">
        <v>2198</v>
      </c>
      <c r="H563" t="s">
        <v>2644</v>
      </c>
      <c r="I563" t="s">
        <v>2645</v>
      </c>
      <c r="M563" t="s">
        <v>2362</v>
      </c>
    </row>
    <row r="564" spans="1:13" x14ac:dyDescent="0.3">
      <c r="A564" t="s">
        <v>2646</v>
      </c>
      <c r="B564" t="s">
        <v>2359</v>
      </c>
      <c r="C564">
        <v>7487916</v>
      </c>
      <c r="D564">
        <v>101140257</v>
      </c>
      <c r="E564" t="s">
        <v>2647</v>
      </c>
      <c r="G564" t="s">
        <v>2198</v>
      </c>
      <c r="H564" t="s">
        <v>1161</v>
      </c>
      <c r="I564" t="s">
        <v>2648</v>
      </c>
      <c r="M564" t="s">
        <v>2362</v>
      </c>
    </row>
    <row r="565" spans="1:13" x14ac:dyDescent="0.3">
      <c r="A565" t="s">
        <v>152</v>
      </c>
      <c r="B565" t="s">
        <v>2359</v>
      </c>
      <c r="C565">
        <v>7487916</v>
      </c>
      <c r="D565">
        <v>101058764</v>
      </c>
      <c r="E565" t="s">
        <v>153</v>
      </c>
      <c r="G565" t="s">
        <v>2198</v>
      </c>
      <c r="H565" t="s">
        <v>1084</v>
      </c>
      <c r="I565" t="s">
        <v>2649</v>
      </c>
      <c r="M565" t="s">
        <v>2362</v>
      </c>
    </row>
    <row r="566" spans="1:13" x14ac:dyDescent="0.3">
      <c r="A566" t="s">
        <v>154</v>
      </c>
      <c r="B566" t="s">
        <v>2359</v>
      </c>
      <c r="C566">
        <v>7487916</v>
      </c>
      <c r="D566">
        <v>101058737</v>
      </c>
      <c r="E566" t="s">
        <v>155</v>
      </c>
      <c r="G566" t="s">
        <v>2198</v>
      </c>
      <c r="H566" t="s">
        <v>2650</v>
      </c>
      <c r="I566" t="s">
        <v>2454</v>
      </c>
      <c r="M566" t="s">
        <v>2362</v>
      </c>
    </row>
    <row r="567" spans="1:13" x14ac:dyDescent="0.3">
      <c r="A567" t="s">
        <v>2651</v>
      </c>
      <c r="B567" t="s">
        <v>2359</v>
      </c>
      <c r="C567">
        <v>7487916</v>
      </c>
      <c r="D567">
        <v>101140258</v>
      </c>
      <c r="E567" t="s">
        <v>2652</v>
      </c>
      <c r="G567" t="s">
        <v>2198</v>
      </c>
      <c r="H567" t="s">
        <v>2469</v>
      </c>
      <c r="I567" t="s">
        <v>2564</v>
      </c>
      <c r="M567" t="s">
        <v>2362</v>
      </c>
    </row>
    <row r="568" spans="1:13" x14ac:dyDescent="0.3">
      <c r="A568" t="s">
        <v>156</v>
      </c>
      <c r="B568" t="s">
        <v>2359</v>
      </c>
      <c r="C568">
        <v>7487916</v>
      </c>
      <c r="D568">
        <v>101058765</v>
      </c>
      <c r="E568" t="s">
        <v>157</v>
      </c>
      <c r="G568" t="s">
        <v>2198</v>
      </c>
      <c r="H568" t="s">
        <v>2653</v>
      </c>
      <c r="I568" t="s">
        <v>2654</v>
      </c>
      <c r="M568" t="s">
        <v>2362</v>
      </c>
    </row>
    <row r="569" spans="1:13" x14ac:dyDescent="0.3">
      <c r="A569" t="s">
        <v>2176</v>
      </c>
      <c r="B569" t="s">
        <v>2359</v>
      </c>
      <c r="C569">
        <v>7487916</v>
      </c>
      <c r="D569">
        <v>120172009</v>
      </c>
      <c r="E569" t="s">
        <v>2655</v>
      </c>
      <c r="G569" t="s">
        <v>2198</v>
      </c>
      <c r="H569" t="s">
        <v>1136</v>
      </c>
      <c r="I569" t="s">
        <v>2656</v>
      </c>
      <c r="J569" t="s">
        <v>2200</v>
      </c>
    </row>
    <row r="570" spans="1:13" x14ac:dyDescent="0.3">
      <c r="A570" t="s">
        <v>2657</v>
      </c>
      <c r="B570" t="s">
        <v>2359</v>
      </c>
      <c r="C570">
        <v>7487916</v>
      </c>
      <c r="D570">
        <v>101134705</v>
      </c>
      <c r="E570" t="s">
        <v>2658</v>
      </c>
      <c r="G570" t="s">
        <v>2198</v>
      </c>
      <c r="H570" t="s">
        <v>1169</v>
      </c>
      <c r="I570" t="s">
        <v>2659</v>
      </c>
      <c r="J570" t="s">
        <v>2200</v>
      </c>
      <c r="M570" t="s">
        <v>2362</v>
      </c>
    </row>
    <row r="571" spans="1:13" x14ac:dyDescent="0.3">
      <c r="A571" t="s">
        <v>158</v>
      </c>
      <c r="B571" t="s">
        <v>2359</v>
      </c>
      <c r="C571">
        <v>7487916</v>
      </c>
      <c r="D571">
        <v>101012927</v>
      </c>
      <c r="G571" t="s">
        <v>2198</v>
      </c>
      <c r="H571" t="s">
        <v>1164</v>
      </c>
      <c r="I571" t="s">
        <v>2660</v>
      </c>
      <c r="M571" t="s">
        <v>2362</v>
      </c>
    </row>
    <row r="572" spans="1:13" x14ac:dyDescent="0.3">
      <c r="A572" t="s">
        <v>2661</v>
      </c>
      <c r="B572" t="s">
        <v>2359</v>
      </c>
      <c r="C572">
        <v>7487916</v>
      </c>
      <c r="D572">
        <v>120042842</v>
      </c>
      <c r="F572" t="s">
        <v>2662</v>
      </c>
      <c r="G572" t="s">
        <v>2198</v>
      </c>
      <c r="H572" t="s">
        <v>1259</v>
      </c>
      <c r="I572" t="s">
        <v>2663</v>
      </c>
      <c r="J572" t="s">
        <v>2898</v>
      </c>
      <c r="L572" t="s">
        <v>2664</v>
      </c>
      <c r="M572" t="s">
        <v>2665</v>
      </c>
    </row>
    <row r="573" spans="1:13" x14ac:dyDescent="0.3">
      <c r="A573" t="s">
        <v>2661</v>
      </c>
      <c r="B573" t="s">
        <v>2359</v>
      </c>
      <c r="C573">
        <v>7487916</v>
      </c>
      <c r="D573">
        <v>120043508</v>
      </c>
      <c r="E573" t="s">
        <v>2666</v>
      </c>
      <c r="G573" t="s">
        <v>2198</v>
      </c>
      <c r="H573" t="s">
        <v>1259</v>
      </c>
      <c r="I573" t="s">
        <v>2663</v>
      </c>
      <c r="K573" t="s">
        <v>2667</v>
      </c>
      <c r="L573" t="s">
        <v>2664</v>
      </c>
    </row>
    <row r="574" spans="1:13" x14ac:dyDescent="0.3">
      <c r="A574" t="s">
        <v>1685</v>
      </c>
      <c r="B574" t="s">
        <v>2359</v>
      </c>
      <c r="C574">
        <v>7487916</v>
      </c>
      <c r="D574">
        <v>101031459</v>
      </c>
      <c r="E574" t="s">
        <v>2668</v>
      </c>
      <c r="F574" t="s">
        <v>2669</v>
      </c>
      <c r="G574" t="s">
        <v>2198</v>
      </c>
      <c r="H574" t="s">
        <v>1141</v>
      </c>
      <c r="I574" t="s">
        <v>2670</v>
      </c>
      <c r="K574" t="s">
        <v>2671</v>
      </c>
      <c r="M574" t="s">
        <v>2362</v>
      </c>
    </row>
    <row r="575" spans="1:13" x14ac:dyDescent="0.3">
      <c r="A575" t="s">
        <v>94</v>
      </c>
      <c r="B575" t="s">
        <v>2359</v>
      </c>
      <c r="C575">
        <v>7487916</v>
      </c>
      <c r="D575">
        <v>101134707</v>
      </c>
      <c r="G575" t="s">
        <v>2198</v>
      </c>
      <c r="H575" t="s">
        <v>2310</v>
      </c>
      <c r="I575" t="s">
        <v>2670</v>
      </c>
      <c r="J575" t="s">
        <v>2200</v>
      </c>
      <c r="K575" t="s">
        <v>2672</v>
      </c>
      <c r="M575" t="s">
        <v>2673</v>
      </c>
    </row>
    <row r="576" spans="1:13" x14ac:dyDescent="0.3">
      <c r="A576" t="s">
        <v>2674</v>
      </c>
      <c r="B576" t="s">
        <v>2359</v>
      </c>
      <c r="C576">
        <v>7487916</v>
      </c>
      <c r="D576">
        <v>101140259</v>
      </c>
      <c r="E576" t="s">
        <v>2675</v>
      </c>
      <c r="G576" t="s">
        <v>2198</v>
      </c>
      <c r="H576" t="s">
        <v>1141</v>
      </c>
      <c r="I576" t="s">
        <v>2676</v>
      </c>
      <c r="M576" t="s">
        <v>2362</v>
      </c>
    </row>
    <row r="577" spans="1:13" x14ac:dyDescent="0.3">
      <c r="A577" t="s">
        <v>159</v>
      </c>
      <c r="B577" t="s">
        <v>2359</v>
      </c>
      <c r="C577">
        <v>7487916</v>
      </c>
      <c r="D577">
        <v>101058758</v>
      </c>
      <c r="E577" t="s">
        <v>160</v>
      </c>
      <c r="G577" t="s">
        <v>2198</v>
      </c>
      <c r="H577" t="s">
        <v>1226</v>
      </c>
      <c r="I577" t="s">
        <v>2677</v>
      </c>
      <c r="M577" t="s">
        <v>2362</v>
      </c>
    </row>
    <row r="578" spans="1:13" x14ac:dyDescent="0.3">
      <c r="A578" t="s">
        <v>2174</v>
      </c>
      <c r="B578" t="s">
        <v>2359</v>
      </c>
      <c r="C578">
        <v>7487916</v>
      </c>
      <c r="D578">
        <v>120172006</v>
      </c>
      <c r="E578" t="s">
        <v>2678</v>
      </c>
      <c r="G578" t="s">
        <v>2386</v>
      </c>
      <c r="H578" t="s">
        <v>2679</v>
      </c>
      <c r="I578" t="s">
        <v>2680</v>
      </c>
      <c r="J578" t="s">
        <v>2200</v>
      </c>
    </row>
    <row r="579" spans="1:13" x14ac:dyDescent="0.3">
      <c r="A579" t="s">
        <v>161</v>
      </c>
      <c r="B579" t="s">
        <v>2359</v>
      </c>
      <c r="C579">
        <v>7487916</v>
      </c>
      <c r="D579">
        <v>101058759</v>
      </c>
      <c r="E579" t="s">
        <v>162</v>
      </c>
      <c r="G579" t="s">
        <v>2386</v>
      </c>
      <c r="H579" t="s">
        <v>2681</v>
      </c>
      <c r="I579" t="s">
        <v>2682</v>
      </c>
      <c r="M579" t="s">
        <v>2362</v>
      </c>
    </row>
    <row r="580" spans="1:13" x14ac:dyDescent="0.3">
      <c r="A580" t="s">
        <v>163</v>
      </c>
      <c r="B580" t="s">
        <v>2359</v>
      </c>
      <c r="C580">
        <v>7487916</v>
      </c>
      <c r="D580">
        <v>101058739</v>
      </c>
      <c r="E580" t="s">
        <v>164</v>
      </c>
      <c r="G580" t="s">
        <v>2198</v>
      </c>
      <c r="H580" t="s">
        <v>1261</v>
      </c>
      <c r="I580" t="s">
        <v>2683</v>
      </c>
      <c r="M580" t="s">
        <v>2362</v>
      </c>
    </row>
    <row r="581" spans="1:13" x14ac:dyDescent="0.3">
      <c r="A581" t="s">
        <v>165</v>
      </c>
      <c r="B581" t="s">
        <v>2359</v>
      </c>
      <c r="C581">
        <v>7487916</v>
      </c>
      <c r="D581">
        <v>101058772</v>
      </c>
      <c r="E581" t="s">
        <v>166</v>
      </c>
      <c r="G581" t="s">
        <v>2198</v>
      </c>
      <c r="H581" t="s">
        <v>2684</v>
      </c>
      <c r="I581" t="s">
        <v>2685</v>
      </c>
      <c r="M581" t="s">
        <v>2362</v>
      </c>
    </row>
    <row r="582" spans="1:13" x14ac:dyDescent="0.3">
      <c r="A582" t="s">
        <v>167</v>
      </c>
      <c r="B582" t="s">
        <v>2359</v>
      </c>
      <c r="C582">
        <v>7487916</v>
      </c>
      <c r="D582">
        <v>101058729</v>
      </c>
      <c r="E582" t="s">
        <v>168</v>
      </c>
      <c r="G582" t="s">
        <v>2198</v>
      </c>
      <c r="H582" t="s">
        <v>1226</v>
      </c>
      <c r="I582" t="s">
        <v>2686</v>
      </c>
      <c r="M582" t="s">
        <v>2362</v>
      </c>
    </row>
    <row r="583" spans="1:13" x14ac:dyDescent="0.3">
      <c r="A583" t="s">
        <v>2131</v>
      </c>
      <c r="B583" t="s">
        <v>2132</v>
      </c>
      <c r="C583">
        <v>110000553</v>
      </c>
      <c r="D583">
        <v>120171967</v>
      </c>
      <c r="E583" t="s">
        <v>2313</v>
      </c>
      <c r="G583" t="s">
        <v>2198</v>
      </c>
      <c r="H583" t="s">
        <v>2314</v>
      </c>
      <c r="I583" t="s">
        <v>2315</v>
      </c>
      <c r="J583" t="s">
        <v>2200</v>
      </c>
    </row>
    <row r="584" spans="1:13" x14ac:dyDescent="0.3">
      <c r="A584" t="s">
        <v>2316</v>
      </c>
      <c r="B584" t="s">
        <v>2132</v>
      </c>
      <c r="C584">
        <v>110000553</v>
      </c>
      <c r="D584">
        <v>101096102</v>
      </c>
      <c r="E584" t="s">
        <v>2317</v>
      </c>
      <c r="G584" t="s">
        <v>2198</v>
      </c>
      <c r="H584" t="s">
        <v>1091</v>
      </c>
      <c r="I584" t="s">
        <v>2318</v>
      </c>
    </row>
    <row r="585" spans="1:13" x14ac:dyDescent="0.3">
      <c r="A585" t="s">
        <v>2319</v>
      </c>
      <c r="B585" t="s">
        <v>2132</v>
      </c>
      <c r="C585">
        <v>110000553</v>
      </c>
      <c r="D585">
        <v>101117378</v>
      </c>
      <c r="E585" t="s">
        <v>2320</v>
      </c>
      <c r="G585" t="s">
        <v>2198</v>
      </c>
      <c r="H585" t="s">
        <v>1136</v>
      </c>
      <c r="I585" t="s">
        <v>1102</v>
      </c>
      <c r="J585" t="s">
        <v>2898</v>
      </c>
    </row>
    <row r="586" spans="1:13" x14ac:dyDescent="0.3">
      <c r="A586" t="s">
        <v>2133</v>
      </c>
      <c r="B586" t="s">
        <v>2132</v>
      </c>
      <c r="C586">
        <v>110000553</v>
      </c>
      <c r="D586">
        <v>120171968</v>
      </c>
      <c r="E586" t="s">
        <v>2321</v>
      </c>
      <c r="G586" t="s">
        <v>2198</v>
      </c>
      <c r="H586" t="s">
        <v>2259</v>
      </c>
      <c r="I586" t="s">
        <v>2322</v>
      </c>
      <c r="J586" t="s">
        <v>2200</v>
      </c>
    </row>
    <row r="587" spans="1:13" x14ac:dyDescent="0.3">
      <c r="A587" t="s">
        <v>5181</v>
      </c>
      <c r="B587" t="s">
        <v>117</v>
      </c>
      <c r="C587">
        <v>7496107</v>
      </c>
      <c r="D587">
        <v>101140233</v>
      </c>
      <c r="E587" t="s">
        <v>5182</v>
      </c>
      <c r="G587" t="s">
        <v>2198</v>
      </c>
      <c r="H587" t="s">
        <v>5183</v>
      </c>
      <c r="I587" t="s">
        <v>5184</v>
      </c>
      <c r="K587" t="s">
        <v>4215</v>
      </c>
    </row>
    <row r="588" spans="1:13" x14ac:dyDescent="0.3">
      <c r="A588" t="s">
        <v>5185</v>
      </c>
      <c r="B588" t="s">
        <v>117</v>
      </c>
      <c r="C588">
        <v>7496107</v>
      </c>
      <c r="D588">
        <v>101140266</v>
      </c>
      <c r="E588" t="s">
        <v>5186</v>
      </c>
      <c r="G588" t="s">
        <v>4689</v>
      </c>
      <c r="H588" t="s">
        <v>5187</v>
      </c>
      <c r="I588" t="s">
        <v>5188</v>
      </c>
    </row>
    <row r="589" spans="1:13" x14ac:dyDescent="0.3">
      <c r="A589" t="s">
        <v>5189</v>
      </c>
      <c r="B589" t="s">
        <v>117</v>
      </c>
      <c r="C589">
        <v>7496107</v>
      </c>
      <c r="D589">
        <v>101140265</v>
      </c>
      <c r="E589" t="s">
        <v>5190</v>
      </c>
      <c r="G589" t="s">
        <v>4689</v>
      </c>
      <c r="H589" t="s">
        <v>5191</v>
      </c>
      <c r="I589" t="s">
        <v>5192</v>
      </c>
    </row>
    <row r="590" spans="1:13" x14ac:dyDescent="0.3">
      <c r="A590" t="s">
        <v>5193</v>
      </c>
      <c r="B590" t="s">
        <v>117</v>
      </c>
      <c r="C590">
        <v>7496107</v>
      </c>
      <c r="D590">
        <v>101140234</v>
      </c>
      <c r="E590" t="s">
        <v>5194</v>
      </c>
      <c r="G590" t="s">
        <v>2198</v>
      </c>
      <c r="H590" t="s">
        <v>1115</v>
      </c>
      <c r="I590" t="s">
        <v>5195</v>
      </c>
      <c r="K590" t="s">
        <v>5196</v>
      </c>
    </row>
    <row r="591" spans="1:13" x14ac:dyDescent="0.3">
      <c r="A591" t="s">
        <v>5197</v>
      </c>
      <c r="B591" t="s">
        <v>117</v>
      </c>
      <c r="C591">
        <v>7496107</v>
      </c>
      <c r="D591">
        <v>101140264</v>
      </c>
      <c r="E591" t="s">
        <v>5198</v>
      </c>
      <c r="G591" t="s">
        <v>2386</v>
      </c>
      <c r="H591" t="s">
        <v>1236</v>
      </c>
      <c r="I591" t="s">
        <v>1212</v>
      </c>
    </row>
    <row r="592" spans="1:13" x14ac:dyDescent="0.3">
      <c r="A592" t="s">
        <v>5199</v>
      </c>
      <c r="B592" t="s">
        <v>117</v>
      </c>
      <c r="C592">
        <v>7496107</v>
      </c>
      <c r="D592">
        <v>101140260</v>
      </c>
      <c r="E592" t="s">
        <v>5200</v>
      </c>
      <c r="G592" t="s">
        <v>2198</v>
      </c>
      <c r="H592" t="s">
        <v>1161</v>
      </c>
      <c r="I592" t="s">
        <v>5201</v>
      </c>
    </row>
    <row r="593" spans="1:13" x14ac:dyDescent="0.3">
      <c r="A593" t="s">
        <v>1057</v>
      </c>
      <c r="B593" t="s">
        <v>117</v>
      </c>
      <c r="C593">
        <v>7496107</v>
      </c>
      <c r="D593">
        <v>101094093</v>
      </c>
      <c r="E593" t="s">
        <v>1058</v>
      </c>
      <c r="G593" t="s">
        <v>2198</v>
      </c>
      <c r="H593" t="s">
        <v>1226</v>
      </c>
      <c r="I593" t="s">
        <v>1266</v>
      </c>
      <c r="J593" t="s">
        <v>4573</v>
      </c>
      <c r="K593" t="s">
        <v>5202</v>
      </c>
    </row>
    <row r="594" spans="1:13" x14ac:dyDescent="0.3">
      <c r="A594" t="s">
        <v>5203</v>
      </c>
      <c r="B594" t="s">
        <v>117</v>
      </c>
      <c r="C594">
        <v>7496107</v>
      </c>
      <c r="D594">
        <v>101140238</v>
      </c>
      <c r="E594" t="s">
        <v>5204</v>
      </c>
      <c r="G594" t="s">
        <v>2198</v>
      </c>
      <c r="H594" t="s">
        <v>3172</v>
      </c>
      <c r="I594" t="s">
        <v>5205</v>
      </c>
    </row>
    <row r="595" spans="1:13" x14ac:dyDescent="0.3">
      <c r="A595" t="s">
        <v>5206</v>
      </c>
      <c r="B595" t="s">
        <v>117</v>
      </c>
      <c r="C595">
        <v>7496107</v>
      </c>
      <c r="D595">
        <v>101140261</v>
      </c>
      <c r="E595" t="s">
        <v>5207</v>
      </c>
      <c r="G595" t="s">
        <v>2198</v>
      </c>
      <c r="H595" t="s">
        <v>1226</v>
      </c>
      <c r="I595" t="s">
        <v>5208</v>
      </c>
    </row>
    <row r="596" spans="1:13" x14ac:dyDescent="0.3">
      <c r="A596" t="s">
        <v>5209</v>
      </c>
      <c r="B596" t="s">
        <v>117</v>
      </c>
      <c r="C596">
        <v>7496107</v>
      </c>
      <c r="D596">
        <v>101140239</v>
      </c>
      <c r="E596" t="s">
        <v>5210</v>
      </c>
      <c r="G596" t="s">
        <v>2198</v>
      </c>
      <c r="H596" t="s">
        <v>5087</v>
      </c>
      <c r="I596" t="s">
        <v>5211</v>
      </c>
    </row>
    <row r="597" spans="1:13" x14ac:dyDescent="0.3">
      <c r="A597" t="s">
        <v>5212</v>
      </c>
      <c r="B597" t="s">
        <v>117</v>
      </c>
      <c r="C597">
        <v>7496107</v>
      </c>
      <c r="D597">
        <v>101140236</v>
      </c>
      <c r="E597" t="s">
        <v>5213</v>
      </c>
      <c r="G597" t="s">
        <v>2386</v>
      </c>
      <c r="H597" t="s">
        <v>5214</v>
      </c>
      <c r="I597" t="s">
        <v>5215</v>
      </c>
      <c r="J597" t="s">
        <v>4573</v>
      </c>
      <c r="K597" t="s">
        <v>5216</v>
      </c>
    </row>
    <row r="598" spans="1:13" x14ac:dyDescent="0.3">
      <c r="A598" t="s">
        <v>5217</v>
      </c>
      <c r="B598" t="s">
        <v>117</v>
      </c>
      <c r="C598">
        <v>7496107</v>
      </c>
      <c r="D598">
        <v>101140262</v>
      </c>
      <c r="E598" t="s">
        <v>5218</v>
      </c>
      <c r="G598" t="s">
        <v>2198</v>
      </c>
      <c r="H598" t="s">
        <v>1097</v>
      </c>
      <c r="I598" t="s">
        <v>5219</v>
      </c>
    </row>
    <row r="599" spans="1:13" x14ac:dyDescent="0.3">
      <c r="A599" t="s">
        <v>5220</v>
      </c>
      <c r="B599" t="s">
        <v>117</v>
      </c>
      <c r="C599">
        <v>7496107</v>
      </c>
      <c r="D599">
        <v>101140237</v>
      </c>
      <c r="E599" t="s">
        <v>5221</v>
      </c>
      <c r="G599" t="s">
        <v>2198</v>
      </c>
      <c r="H599" t="s">
        <v>2909</v>
      </c>
      <c r="I599" t="s">
        <v>1158</v>
      </c>
    </row>
    <row r="600" spans="1:13" x14ac:dyDescent="0.3">
      <c r="A600" t="s">
        <v>1059</v>
      </c>
      <c r="B600" t="s">
        <v>117</v>
      </c>
      <c r="C600">
        <v>7496107</v>
      </c>
      <c r="D600">
        <v>101049721</v>
      </c>
      <c r="E600" t="s">
        <v>1060</v>
      </c>
      <c r="G600" t="s">
        <v>2386</v>
      </c>
      <c r="H600" t="s">
        <v>1267</v>
      </c>
      <c r="I600" t="s">
        <v>1268</v>
      </c>
      <c r="J600" t="s">
        <v>2343</v>
      </c>
      <c r="K600" t="s">
        <v>5222</v>
      </c>
      <c r="M600" t="s">
        <v>5223</v>
      </c>
    </row>
    <row r="601" spans="1:13" x14ac:dyDescent="0.3">
      <c r="A601" t="s">
        <v>1062</v>
      </c>
      <c r="B601" t="s">
        <v>117</v>
      </c>
      <c r="C601">
        <v>7496107</v>
      </c>
      <c r="D601">
        <v>101094094</v>
      </c>
      <c r="E601" t="s">
        <v>1063</v>
      </c>
      <c r="G601" t="s">
        <v>2198</v>
      </c>
      <c r="H601" t="s">
        <v>1269</v>
      </c>
      <c r="I601" t="s">
        <v>1251</v>
      </c>
      <c r="J601" t="s">
        <v>2898</v>
      </c>
      <c r="K601" t="s">
        <v>5224</v>
      </c>
    </row>
    <row r="602" spans="1:13" x14ac:dyDescent="0.3">
      <c r="A602" t="s">
        <v>5225</v>
      </c>
      <c r="B602" t="s">
        <v>117</v>
      </c>
      <c r="C602">
        <v>7496107</v>
      </c>
      <c r="D602">
        <v>101140235</v>
      </c>
      <c r="E602" t="s">
        <v>5226</v>
      </c>
      <c r="G602" t="s">
        <v>2198</v>
      </c>
      <c r="H602" t="s">
        <v>1115</v>
      </c>
      <c r="I602" t="s">
        <v>5227</v>
      </c>
      <c r="J602" t="s">
        <v>2898</v>
      </c>
      <c r="K602" t="s">
        <v>5228</v>
      </c>
    </row>
    <row r="603" spans="1:13" x14ac:dyDescent="0.3">
      <c r="A603" t="s">
        <v>116</v>
      </c>
      <c r="B603" t="s">
        <v>117</v>
      </c>
      <c r="C603">
        <v>7496107</v>
      </c>
      <c r="D603">
        <v>101049720</v>
      </c>
      <c r="E603" t="s">
        <v>5229</v>
      </c>
      <c r="F603" t="s">
        <v>5223</v>
      </c>
      <c r="G603" t="s">
        <v>2198</v>
      </c>
      <c r="H603" t="s">
        <v>2306</v>
      </c>
      <c r="I603" t="s">
        <v>5230</v>
      </c>
      <c r="J603" t="s">
        <v>2343</v>
      </c>
      <c r="K603" t="s">
        <v>5231</v>
      </c>
    </row>
    <row r="604" spans="1:13" x14ac:dyDescent="0.3">
      <c r="A604" t="s">
        <v>5232</v>
      </c>
      <c r="B604" t="s">
        <v>117</v>
      </c>
      <c r="C604">
        <v>7496107</v>
      </c>
      <c r="D604">
        <v>101140263</v>
      </c>
      <c r="E604" t="s">
        <v>5233</v>
      </c>
      <c r="G604" t="s">
        <v>2198</v>
      </c>
      <c r="H604" t="s">
        <v>1143</v>
      </c>
      <c r="I604" t="s">
        <v>5038</v>
      </c>
    </row>
    <row r="605" spans="1:13" x14ac:dyDescent="0.3">
      <c r="A605" t="s">
        <v>4249</v>
      </c>
      <c r="B605" t="s">
        <v>4250</v>
      </c>
      <c r="C605">
        <v>535981</v>
      </c>
      <c r="D605">
        <v>101131961</v>
      </c>
      <c r="E605" t="s">
        <v>4251</v>
      </c>
      <c r="G605" t="s">
        <v>2198</v>
      </c>
      <c r="H605" t="s">
        <v>1161</v>
      </c>
      <c r="I605" t="s">
        <v>4252</v>
      </c>
    </row>
    <row r="606" spans="1:13" x14ac:dyDescent="0.3">
      <c r="A606" t="s">
        <v>4253</v>
      </c>
      <c r="B606" t="s">
        <v>4250</v>
      </c>
      <c r="C606">
        <v>535981</v>
      </c>
      <c r="D606">
        <v>100751218</v>
      </c>
      <c r="E606" t="s">
        <v>4254</v>
      </c>
      <c r="F606" t="s">
        <v>4255</v>
      </c>
      <c r="G606" t="s">
        <v>2198</v>
      </c>
      <c r="H606" t="s">
        <v>4256</v>
      </c>
      <c r="I606" t="s">
        <v>4257</v>
      </c>
      <c r="L606" t="s">
        <v>2432</v>
      </c>
      <c r="M606" t="s">
        <v>4258</v>
      </c>
    </row>
    <row r="607" spans="1:13" x14ac:dyDescent="0.3">
      <c r="A607" t="s">
        <v>4259</v>
      </c>
      <c r="B607" t="s">
        <v>4250</v>
      </c>
      <c r="C607">
        <v>535981</v>
      </c>
      <c r="D607">
        <v>100751216</v>
      </c>
      <c r="E607" t="s">
        <v>4260</v>
      </c>
      <c r="G607" t="s">
        <v>2198</v>
      </c>
      <c r="H607" t="s">
        <v>4261</v>
      </c>
      <c r="I607" t="s">
        <v>4262</v>
      </c>
      <c r="L607" t="s">
        <v>4263</v>
      </c>
      <c r="M607" t="s">
        <v>4264</v>
      </c>
    </row>
    <row r="608" spans="1:13" x14ac:dyDescent="0.3">
      <c r="A608" t="s">
        <v>4265</v>
      </c>
      <c r="B608" t="s">
        <v>4250</v>
      </c>
      <c r="C608">
        <v>535981</v>
      </c>
      <c r="D608">
        <v>100751217</v>
      </c>
      <c r="E608" t="s">
        <v>4266</v>
      </c>
      <c r="G608" t="s">
        <v>2198</v>
      </c>
      <c r="H608" t="s">
        <v>2469</v>
      </c>
      <c r="I608" t="s">
        <v>1176</v>
      </c>
      <c r="L608" t="s">
        <v>2432</v>
      </c>
      <c r="M608" t="s">
        <v>4258</v>
      </c>
    </row>
    <row r="609" spans="1:13" x14ac:dyDescent="0.3">
      <c r="A609" t="s">
        <v>4267</v>
      </c>
      <c r="B609" t="s">
        <v>4250</v>
      </c>
      <c r="C609">
        <v>535981</v>
      </c>
      <c r="D609">
        <v>100751214</v>
      </c>
      <c r="E609" t="s">
        <v>4268</v>
      </c>
      <c r="G609" t="s">
        <v>2198</v>
      </c>
      <c r="H609" t="s">
        <v>1129</v>
      </c>
      <c r="I609" t="s">
        <v>4269</v>
      </c>
      <c r="L609" t="s">
        <v>4270</v>
      </c>
      <c r="M609" t="s">
        <v>4258</v>
      </c>
    </row>
    <row r="610" spans="1:13" x14ac:dyDescent="0.3">
      <c r="A610" t="s">
        <v>4271</v>
      </c>
      <c r="B610" t="s">
        <v>4250</v>
      </c>
      <c r="C610">
        <v>535981</v>
      </c>
      <c r="D610">
        <v>100751215</v>
      </c>
      <c r="E610" t="s">
        <v>4272</v>
      </c>
      <c r="G610" t="s">
        <v>2198</v>
      </c>
      <c r="H610" t="s">
        <v>3191</v>
      </c>
      <c r="I610" t="s">
        <v>1139</v>
      </c>
      <c r="L610" t="s">
        <v>4273</v>
      </c>
      <c r="M610" t="s">
        <v>4258</v>
      </c>
    </row>
    <row r="611" spans="1:13" x14ac:dyDescent="0.3">
      <c r="A611" t="s">
        <v>1072</v>
      </c>
      <c r="B611" t="s">
        <v>5234</v>
      </c>
      <c r="C611">
        <v>110003378</v>
      </c>
      <c r="D611">
        <v>101107692</v>
      </c>
      <c r="E611" t="s">
        <v>1074</v>
      </c>
      <c r="G611" t="s">
        <v>2198</v>
      </c>
      <c r="H611" t="s">
        <v>5035</v>
      </c>
      <c r="I611" t="s">
        <v>5235</v>
      </c>
      <c r="J611" t="s">
        <v>2200</v>
      </c>
      <c r="M611" t="s">
        <v>5236</v>
      </c>
    </row>
    <row r="612" spans="1:13" x14ac:dyDescent="0.3">
      <c r="A612" t="s">
        <v>1076</v>
      </c>
      <c r="B612" t="s">
        <v>5234</v>
      </c>
      <c r="C612">
        <v>110003378</v>
      </c>
      <c r="D612">
        <v>101107693</v>
      </c>
      <c r="E612" t="s">
        <v>1077</v>
      </c>
      <c r="G612" t="s">
        <v>2198</v>
      </c>
      <c r="H612" t="s">
        <v>2380</v>
      </c>
      <c r="I612" t="s">
        <v>2564</v>
      </c>
      <c r="J612" t="s">
        <v>2200</v>
      </c>
      <c r="M612" t="s">
        <v>5236</v>
      </c>
    </row>
    <row r="613" spans="1:13" x14ac:dyDescent="0.3">
      <c r="A613" t="s">
        <v>1078</v>
      </c>
      <c r="B613" t="s">
        <v>5234</v>
      </c>
      <c r="C613">
        <v>110003378</v>
      </c>
      <c r="D613">
        <v>101107691</v>
      </c>
      <c r="E613" t="s">
        <v>1079</v>
      </c>
      <c r="G613" t="s">
        <v>2198</v>
      </c>
      <c r="H613" t="s">
        <v>5237</v>
      </c>
      <c r="I613" t="s">
        <v>2728</v>
      </c>
      <c r="M613" t="s">
        <v>5236</v>
      </c>
    </row>
    <row r="614" spans="1:13" x14ac:dyDescent="0.3">
      <c r="A614" t="s">
        <v>1080</v>
      </c>
      <c r="B614" t="s">
        <v>5234</v>
      </c>
      <c r="C614">
        <v>110003378</v>
      </c>
      <c r="D614">
        <v>101107690</v>
      </c>
      <c r="E614" t="s">
        <v>1081</v>
      </c>
      <c r="G614" t="s">
        <v>2198</v>
      </c>
      <c r="H614" t="s">
        <v>1169</v>
      </c>
      <c r="I614" t="s">
        <v>5238</v>
      </c>
      <c r="J614" t="s">
        <v>2898</v>
      </c>
      <c r="M614" t="s">
        <v>5236</v>
      </c>
    </row>
    <row r="615" spans="1:13" x14ac:dyDescent="0.3">
      <c r="A615" t="s">
        <v>3889</v>
      </c>
      <c r="B615" t="s">
        <v>3336</v>
      </c>
      <c r="C615">
        <v>120191158</v>
      </c>
      <c r="D615">
        <v>120191302</v>
      </c>
      <c r="E615" t="s">
        <v>3463</v>
      </c>
      <c r="G615" t="s">
        <v>2198</v>
      </c>
      <c r="H615" t="s">
        <v>3211</v>
      </c>
      <c r="I615" t="s">
        <v>3212</v>
      </c>
      <c r="L615" t="s">
        <v>4012</v>
      </c>
      <c r="M615" t="s">
        <v>4274</v>
      </c>
    </row>
    <row r="616" spans="1:13" x14ac:dyDescent="0.3">
      <c r="A616" t="s">
        <v>3877</v>
      </c>
      <c r="B616" t="s">
        <v>3336</v>
      </c>
      <c r="C616">
        <v>120191158</v>
      </c>
      <c r="D616">
        <v>120191278</v>
      </c>
      <c r="E616" t="s">
        <v>3451</v>
      </c>
      <c r="G616" t="s">
        <v>2198</v>
      </c>
      <c r="H616" t="s">
        <v>3194</v>
      </c>
      <c r="I616" t="s">
        <v>3195</v>
      </c>
      <c r="L616" t="s">
        <v>4071</v>
      </c>
      <c r="M616" t="s">
        <v>4274</v>
      </c>
    </row>
    <row r="617" spans="1:13" x14ac:dyDescent="0.3">
      <c r="A617" t="s">
        <v>3885</v>
      </c>
      <c r="B617" t="s">
        <v>3336</v>
      </c>
      <c r="C617">
        <v>120191158</v>
      </c>
      <c r="D617">
        <v>120191148</v>
      </c>
      <c r="E617" t="s">
        <v>3459</v>
      </c>
      <c r="G617" t="s">
        <v>2198</v>
      </c>
      <c r="H617" t="s">
        <v>3205</v>
      </c>
      <c r="I617" t="s">
        <v>3102</v>
      </c>
      <c r="L617" t="s">
        <v>4074</v>
      </c>
      <c r="M617" t="s">
        <v>4274</v>
      </c>
    </row>
    <row r="618" spans="1:13" x14ac:dyDescent="0.3">
      <c r="A618" t="s">
        <v>3871</v>
      </c>
      <c r="B618" t="s">
        <v>3336</v>
      </c>
      <c r="C618">
        <v>120191158</v>
      </c>
      <c r="D618">
        <v>120191272</v>
      </c>
      <c r="E618" t="s">
        <v>3445</v>
      </c>
      <c r="G618" t="s">
        <v>2198</v>
      </c>
      <c r="H618" t="s">
        <v>3185</v>
      </c>
      <c r="I618" t="s">
        <v>3186</v>
      </c>
      <c r="L618" t="s">
        <v>4067</v>
      </c>
      <c r="M618" t="s">
        <v>4274</v>
      </c>
    </row>
    <row r="619" spans="1:13" x14ac:dyDescent="0.3">
      <c r="A619" t="s">
        <v>3897</v>
      </c>
      <c r="B619" t="s">
        <v>3336</v>
      </c>
      <c r="C619">
        <v>120191158</v>
      </c>
      <c r="D619">
        <v>120191330</v>
      </c>
      <c r="E619" t="s">
        <v>3471</v>
      </c>
      <c r="G619" t="s">
        <v>2386</v>
      </c>
      <c r="H619" t="s">
        <v>3222</v>
      </c>
      <c r="I619" t="s">
        <v>3223</v>
      </c>
      <c r="L619" t="s">
        <v>4085</v>
      </c>
      <c r="M619" t="s">
        <v>4274</v>
      </c>
    </row>
    <row r="620" spans="1:13" x14ac:dyDescent="0.3">
      <c r="A620" t="s">
        <v>3870</v>
      </c>
      <c r="B620" t="s">
        <v>3336</v>
      </c>
      <c r="C620">
        <v>120191158</v>
      </c>
      <c r="D620">
        <v>120191271</v>
      </c>
      <c r="E620" t="s">
        <v>3444</v>
      </c>
      <c r="G620" t="s">
        <v>2386</v>
      </c>
      <c r="H620" t="s">
        <v>3183</v>
      </c>
      <c r="I620" t="s">
        <v>3184</v>
      </c>
      <c r="L620" t="s">
        <v>4066</v>
      </c>
      <c r="M620" t="s">
        <v>4274</v>
      </c>
    </row>
    <row r="621" spans="1:13" x14ac:dyDescent="0.3">
      <c r="A621" t="s">
        <v>3904</v>
      </c>
      <c r="B621" t="s">
        <v>3336</v>
      </c>
      <c r="C621">
        <v>120191158</v>
      </c>
      <c r="D621">
        <v>120191337</v>
      </c>
      <c r="E621" t="s">
        <v>3478</v>
      </c>
      <c r="G621" t="s">
        <v>2386</v>
      </c>
      <c r="H621" t="s">
        <v>3231</v>
      </c>
      <c r="I621" t="s">
        <v>3232</v>
      </c>
      <c r="L621" t="s">
        <v>4088</v>
      </c>
      <c r="M621" t="s">
        <v>4274</v>
      </c>
    </row>
    <row r="622" spans="1:13" x14ac:dyDescent="0.3">
      <c r="A622" t="s">
        <v>3878</v>
      </c>
      <c r="B622" t="s">
        <v>3336</v>
      </c>
      <c r="C622">
        <v>120191158</v>
      </c>
      <c r="D622">
        <v>120191279</v>
      </c>
      <c r="E622" t="s">
        <v>3452</v>
      </c>
      <c r="G622" t="s">
        <v>2198</v>
      </c>
      <c r="H622" t="s">
        <v>3196</v>
      </c>
      <c r="I622" t="s">
        <v>3197</v>
      </c>
      <c r="L622" t="s">
        <v>4072</v>
      </c>
      <c r="M622" t="s">
        <v>4274</v>
      </c>
    </row>
    <row r="623" spans="1:13" x14ac:dyDescent="0.3">
      <c r="A623" t="s">
        <v>3895</v>
      </c>
      <c r="B623" t="s">
        <v>3336</v>
      </c>
      <c r="C623">
        <v>120191158</v>
      </c>
      <c r="D623">
        <v>120191308</v>
      </c>
      <c r="E623" t="s">
        <v>3469</v>
      </c>
      <c r="G623" t="s">
        <v>2198</v>
      </c>
      <c r="H623" t="s">
        <v>1113</v>
      </c>
      <c r="I623" t="s">
        <v>3220</v>
      </c>
      <c r="L623" t="s">
        <v>4083</v>
      </c>
      <c r="M623" t="s">
        <v>4274</v>
      </c>
    </row>
    <row r="624" spans="1:13" x14ac:dyDescent="0.3">
      <c r="A624" t="s">
        <v>3874</v>
      </c>
      <c r="B624" t="s">
        <v>3336</v>
      </c>
      <c r="C624">
        <v>120191158</v>
      </c>
      <c r="D624">
        <v>120191275</v>
      </c>
      <c r="E624" t="s">
        <v>3448</v>
      </c>
      <c r="G624" t="s">
        <v>2386</v>
      </c>
      <c r="H624" t="s">
        <v>3189</v>
      </c>
      <c r="I624" t="s">
        <v>3190</v>
      </c>
      <c r="L624" t="s">
        <v>4069</v>
      </c>
      <c r="M624" t="s">
        <v>4274</v>
      </c>
    </row>
    <row r="625" spans="1:13" x14ac:dyDescent="0.3">
      <c r="A625" t="s">
        <v>3905</v>
      </c>
      <c r="B625" t="s">
        <v>3336</v>
      </c>
      <c r="C625">
        <v>120191158</v>
      </c>
      <c r="D625">
        <v>120191338</v>
      </c>
      <c r="E625" t="s">
        <v>3479</v>
      </c>
      <c r="G625" t="s">
        <v>2198</v>
      </c>
      <c r="H625" t="s">
        <v>2212</v>
      </c>
      <c r="I625" t="s">
        <v>3233</v>
      </c>
      <c r="L625" t="s">
        <v>4275</v>
      </c>
      <c r="M625" t="s">
        <v>4274</v>
      </c>
    </row>
    <row r="626" spans="1:13" x14ac:dyDescent="0.3">
      <c r="A626" t="s">
        <v>3881</v>
      </c>
      <c r="B626" t="s">
        <v>3336</v>
      </c>
      <c r="C626">
        <v>120191158</v>
      </c>
      <c r="D626">
        <v>120191144</v>
      </c>
      <c r="E626" t="s">
        <v>3455</v>
      </c>
      <c r="G626" t="s">
        <v>2198</v>
      </c>
      <c r="H626" t="s">
        <v>3199</v>
      </c>
      <c r="I626" t="s">
        <v>2251</v>
      </c>
      <c r="L626" t="s">
        <v>4067</v>
      </c>
      <c r="M626" t="s">
        <v>4274</v>
      </c>
    </row>
    <row r="627" spans="1:13" x14ac:dyDescent="0.3">
      <c r="A627" t="s">
        <v>3901</v>
      </c>
      <c r="B627" t="s">
        <v>3336</v>
      </c>
      <c r="C627">
        <v>120191158</v>
      </c>
      <c r="D627">
        <v>120191334</v>
      </c>
      <c r="E627" t="s">
        <v>3475</v>
      </c>
      <c r="G627" t="s">
        <v>2198</v>
      </c>
      <c r="H627" t="s">
        <v>1084</v>
      </c>
      <c r="I627" t="s">
        <v>3228</v>
      </c>
      <c r="L627" t="s">
        <v>4074</v>
      </c>
      <c r="M627" t="s">
        <v>4274</v>
      </c>
    </row>
    <row r="628" spans="1:13" x14ac:dyDescent="0.3">
      <c r="A628" t="s">
        <v>3896</v>
      </c>
      <c r="B628" t="s">
        <v>3336</v>
      </c>
      <c r="C628">
        <v>120191158</v>
      </c>
      <c r="D628">
        <v>120191309</v>
      </c>
      <c r="E628" t="s">
        <v>3470</v>
      </c>
      <c r="G628" t="s">
        <v>2198</v>
      </c>
      <c r="H628" t="s">
        <v>3221</v>
      </c>
      <c r="I628" t="s">
        <v>1212</v>
      </c>
      <c r="L628" t="s">
        <v>4084</v>
      </c>
      <c r="M628" t="s">
        <v>4274</v>
      </c>
    </row>
    <row r="629" spans="1:13" x14ac:dyDescent="0.3">
      <c r="A629" t="s">
        <v>3876</v>
      </c>
      <c r="B629" t="s">
        <v>3336</v>
      </c>
      <c r="C629">
        <v>120191158</v>
      </c>
      <c r="D629">
        <v>120191277</v>
      </c>
      <c r="E629" t="s">
        <v>3450</v>
      </c>
      <c r="G629" t="s">
        <v>2386</v>
      </c>
      <c r="H629" t="s">
        <v>3192</v>
      </c>
      <c r="I629" t="s">
        <v>3193</v>
      </c>
      <c r="L629" t="s">
        <v>3986</v>
      </c>
      <c r="M629" t="s">
        <v>4274</v>
      </c>
    </row>
    <row r="630" spans="1:13" x14ac:dyDescent="0.3">
      <c r="A630" t="s">
        <v>3902</v>
      </c>
      <c r="B630" t="s">
        <v>3336</v>
      </c>
      <c r="C630">
        <v>120191158</v>
      </c>
      <c r="D630">
        <v>120191335</v>
      </c>
      <c r="E630" t="s">
        <v>3476</v>
      </c>
      <c r="G630" t="s">
        <v>2198</v>
      </c>
      <c r="H630" t="s">
        <v>2848</v>
      </c>
      <c r="I630" t="s">
        <v>3229</v>
      </c>
      <c r="L630" t="s">
        <v>4070</v>
      </c>
      <c r="M630" t="s">
        <v>4274</v>
      </c>
    </row>
    <row r="631" spans="1:13" x14ac:dyDescent="0.3">
      <c r="A631" t="s">
        <v>3865</v>
      </c>
      <c r="B631" t="s">
        <v>3336</v>
      </c>
      <c r="C631">
        <v>120191158</v>
      </c>
      <c r="D631">
        <v>120191266</v>
      </c>
      <c r="E631" t="s">
        <v>3439</v>
      </c>
      <c r="G631" t="s">
        <v>2198</v>
      </c>
      <c r="H631" t="s">
        <v>3175</v>
      </c>
      <c r="I631" t="s">
        <v>3176</v>
      </c>
      <c r="L631" t="s">
        <v>4006</v>
      </c>
      <c r="M631" t="s">
        <v>4274</v>
      </c>
    </row>
    <row r="632" spans="1:13" x14ac:dyDescent="0.3">
      <c r="A632" t="s">
        <v>3888</v>
      </c>
      <c r="B632" t="s">
        <v>3336</v>
      </c>
      <c r="C632">
        <v>120191158</v>
      </c>
      <c r="D632">
        <v>120191301</v>
      </c>
      <c r="E632" t="s">
        <v>3462</v>
      </c>
      <c r="G632" t="s">
        <v>2198</v>
      </c>
      <c r="H632" t="s">
        <v>3209</v>
      </c>
      <c r="I632" t="s">
        <v>3210</v>
      </c>
      <c r="L632" t="s">
        <v>4077</v>
      </c>
      <c r="M632" t="s">
        <v>4274</v>
      </c>
    </row>
    <row r="633" spans="1:13" x14ac:dyDescent="0.3">
      <c r="A633" t="s">
        <v>3886</v>
      </c>
      <c r="B633" t="s">
        <v>3336</v>
      </c>
      <c r="C633">
        <v>120191158</v>
      </c>
      <c r="D633">
        <v>120191149</v>
      </c>
      <c r="E633" t="s">
        <v>3460</v>
      </c>
      <c r="G633" t="s">
        <v>2386</v>
      </c>
      <c r="H633" t="s">
        <v>3206</v>
      </c>
      <c r="I633" t="s">
        <v>2488</v>
      </c>
      <c r="L633" t="s">
        <v>4075</v>
      </c>
      <c r="M633" t="s">
        <v>4274</v>
      </c>
    </row>
    <row r="634" spans="1:13" x14ac:dyDescent="0.3">
      <c r="A634" t="s">
        <v>3867</v>
      </c>
      <c r="B634" t="s">
        <v>3336</v>
      </c>
      <c r="C634">
        <v>120191158</v>
      </c>
      <c r="D634">
        <v>120191268</v>
      </c>
      <c r="E634" t="s">
        <v>3441</v>
      </c>
      <c r="G634" t="s">
        <v>2198</v>
      </c>
      <c r="H634" t="s">
        <v>3179</v>
      </c>
      <c r="I634" t="s">
        <v>3180</v>
      </c>
      <c r="L634" t="s">
        <v>4063</v>
      </c>
      <c r="M634" t="s">
        <v>4274</v>
      </c>
    </row>
    <row r="635" spans="1:13" x14ac:dyDescent="0.3">
      <c r="A635" t="s">
        <v>3900</v>
      </c>
      <c r="B635" t="s">
        <v>3336</v>
      </c>
      <c r="C635">
        <v>120191158</v>
      </c>
      <c r="D635">
        <v>120191333</v>
      </c>
      <c r="E635" t="s">
        <v>3474</v>
      </c>
      <c r="G635" t="s">
        <v>2198</v>
      </c>
      <c r="H635" t="s">
        <v>3226</v>
      </c>
      <c r="I635" t="s">
        <v>3227</v>
      </c>
      <c r="L635" t="s">
        <v>4006</v>
      </c>
      <c r="M635" t="s">
        <v>4274</v>
      </c>
    </row>
    <row r="636" spans="1:13" x14ac:dyDescent="0.3">
      <c r="A636" t="s">
        <v>3882</v>
      </c>
      <c r="B636" t="s">
        <v>3336</v>
      </c>
      <c r="C636">
        <v>120191158</v>
      </c>
      <c r="D636">
        <v>120191145</v>
      </c>
      <c r="E636" t="s">
        <v>3456</v>
      </c>
      <c r="G636" t="s">
        <v>2198</v>
      </c>
      <c r="H636" t="s">
        <v>3200</v>
      </c>
      <c r="I636" t="s">
        <v>3201</v>
      </c>
      <c r="L636" t="s">
        <v>4073</v>
      </c>
      <c r="M636" t="s">
        <v>4274</v>
      </c>
    </row>
    <row r="637" spans="1:13" x14ac:dyDescent="0.3">
      <c r="A637" t="s">
        <v>3893</v>
      </c>
      <c r="B637" t="s">
        <v>3336</v>
      </c>
      <c r="C637">
        <v>120191158</v>
      </c>
      <c r="D637">
        <v>120191306</v>
      </c>
      <c r="E637" t="s">
        <v>3467</v>
      </c>
      <c r="G637" t="s">
        <v>2386</v>
      </c>
      <c r="H637" t="s">
        <v>3217</v>
      </c>
      <c r="I637" t="s">
        <v>3218</v>
      </c>
      <c r="L637" t="s">
        <v>4081</v>
      </c>
      <c r="M637" t="s">
        <v>4274</v>
      </c>
    </row>
    <row r="638" spans="1:13" x14ac:dyDescent="0.3">
      <c r="A638" t="s">
        <v>3866</v>
      </c>
      <c r="B638" t="s">
        <v>3336</v>
      </c>
      <c r="C638">
        <v>120191158</v>
      </c>
      <c r="D638">
        <v>120191267</v>
      </c>
      <c r="E638" t="s">
        <v>3440</v>
      </c>
      <c r="G638" t="s">
        <v>2386</v>
      </c>
      <c r="H638" t="s">
        <v>3177</v>
      </c>
      <c r="I638" t="s">
        <v>3178</v>
      </c>
      <c r="L638" t="s">
        <v>4062</v>
      </c>
      <c r="M638" t="s">
        <v>4274</v>
      </c>
    </row>
    <row r="639" spans="1:13" x14ac:dyDescent="0.3">
      <c r="A639" t="s">
        <v>3869</v>
      </c>
      <c r="B639" t="s">
        <v>3336</v>
      </c>
      <c r="C639">
        <v>120191158</v>
      </c>
      <c r="D639">
        <v>120191270</v>
      </c>
      <c r="E639" t="s">
        <v>3443</v>
      </c>
      <c r="G639" t="s">
        <v>2386</v>
      </c>
      <c r="H639" t="s">
        <v>3181</v>
      </c>
      <c r="I639" t="s">
        <v>3182</v>
      </c>
      <c r="L639" t="s">
        <v>4065</v>
      </c>
      <c r="M639" t="s">
        <v>4274</v>
      </c>
    </row>
    <row r="640" spans="1:13" x14ac:dyDescent="0.3">
      <c r="A640" t="s">
        <v>3873</v>
      </c>
      <c r="B640" t="s">
        <v>3336</v>
      </c>
      <c r="C640">
        <v>120191158</v>
      </c>
      <c r="D640">
        <v>120191274</v>
      </c>
      <c r="E640" t="s">
        <v>3447</v>
      </c>
      <c r="G640" t="s">
        <v>2198</v>
      </c>
      <c r="H640" t="s">
        <v>3187</v>
      </c>
      <c r="I640" t="s">
        <v>3188</v>
      </c>
      <c r="L640" t="s">
        <v>4068</v>
      </c>
      <c r="M640" t="s">
        <v>4274</v>
      </c>
    </row>
    <row r="641" spans="1:13" x14ac:dyDescent="0.3">
      <c r="A641" t="s">
        <v>3907</v>
      </c>
      <c r="B641" t="s">
        <v>3336</v>
      </c>
      <c r="C641">
        <v>120191158</v>
      </c>
      <c r="D641">
        <v>120191340</v>
      </c>
      <c r="E641" t="s">
        <v>3481</v>
      </c>
      <c r="G641" t="s">
        <v>2198</v>
      </c>
      <c r="H641" t="s">
        <v>1127</v>
      </c>
      <c r="I641" t="s">
        <v>2924</v>
      </c>
      <c r="L641" t="s">
        <v>4091</v>
      </c>
      <c r="M641" t="s">
        <v>4274</v>
      </c>
    </row>
    <row r="642" spans="1:13" x14ac:dyDescent="0.3">
      <c r="A642" t="s">
        <v>3890</v>
      </c>
      <c r="B642" t="s">
        <v>3336</v>
      </c>
      <c r="C642">
        <v>120191158</v>
      </c>
      <c r="D642">
        <v>120191303</v>
      </c>
      <c r="E642" t="s">
        <v>3464</v>
      </c>
      <c r="G642" t="s">
        <v>2386</v>
      </c>
      <c r="H642" t="s">
        <v>3213</v>
      </c>
      <c r="I642" t="s">
        <v>3214</v>
      </c>
      <c r="L642" t="s">
        <v>4078</v>
      </c>
      <c r="M642" t="s">
        <v>4274</v>
      </c>
    </row>
    <row r="643" spans="1:13" x14ac:dyDescent="0.3">
      <c r="A643" t="s">
        <v>3898</v>
      </c>
      <c r="B643" t="s">
        <v>3336</v>
      </c>
      <c r="C643">
        <v>120191158</v>
      </c>
      <c r="D643">
        <v>120191331</v>
      </c>
      <c r="E643" t="s">
        <v>3472</v>
      </c>
      <c r="G643" t="s">
        <v>2386</v>
      </c>
      <c r="H643" t="s">
        <v>3224</v>
      </c>
      <c r="I643" t="s">
        <v>3225</v>
      </c>
      <c r="L643" t="s">
        <v>4086</v>
      </c>
      <c r="M643" t="s">
        <v>4274</v>
      </c>
    </row>
    <row r="644" spans="1:13" x14ac:dyDescent="0.3">
      <c r="A644" t="s">
        <v>3903</v>
      </c>
      <c r="B644" t="s">
        <v>3336</v>
      </c>
      <c r="C644">
        <v>120191158</v>
      </c>
      <c r="D644">
        <v>120191336</v>
      </c>
      <c r="E644" t="s">
        <v>3477</v>
      </c>
      <c r="G644" t="s">
        <v>2198</v>
      </c>
      <c r="H644" t="s">
        <v>1259</v>
      </c>
      <c r="I644" t="s">
        <v>3230</v>
      </c>
      <c r="L644" t="s">
        <v>4276</v>
      </c>
      <c r="M644" t="s">
        <v>4274</v>
      </c>
    </row>
    <row r="645" spans="1:13" x14ac:dyDescent="0.3">
      <c r="A645" t="s">
        <v>3864</v>
      </c>
      <c r="B645" t="s">
        <v>3336</v>
      </c>
      <c r="C645">
        <v>120191158</v>
      </c>
      <c r="D645">
        <v>120191265</v>
      </c>
      <c r="E645" t="s">
        <v>3438</v>
      </c>
      <c r="G645" t="s">
        <v>2198</v>
      </c>
      <c r="H645" t="s">
        <v>1358</v>
      </c>
      <c r="I645" t="s">
        <v>3174</v>
      </c>
      <c r="L645" t="s">
        <v>4061</v>
      </c>
      <c r="M645" t="s">
        <v>4274</v>
      </c>
    </row>
    <row r="646" spans="1:13" x14ac:dyDescent="0.3">
      <c r="A646" t="s">
        <v>3875</v>
      </c>
      <c r="B646" t="s">
        <v>3336</v>
      </c>
      <c r="C646">
        <v>120191158</v>
      </c>
      <c r="D646">
        <v>120191276</v>
      </c>
      <c r="E646" t="s">
        <v>3449</v>
      </c>
      <c r="G646" t="s">
        <v>2198</v>
      </c>
      <c r="H646" t="s">
        <v>3191</v>
      </c>
      <c r="I646" t="s">
        <v>1251</v>
      </c>
      <c r="L646" t="s">
        <v>4070</v>
      </c>
      <c r="M646" t="s">
        <v>4274</v>
      </c>
    </row>
    <row r="647" spans="1:13" x14ac:dyDescent="0.3">
      <c r="A647" t="s">
        <v>3899</v>
      </c>
      <c r="B647" t="s">
        <v>3336</v>
      </c>
      <c r="C647">
        <v>120191158</v>
      </c>
      <c r="D647">
        <v>120191332</v>
      </c>
      <c r="E647" t="s">
        <v>3473</v>
      </c>
      <c r="G647" t="s">
        <v>2198</v>
      </c>
      <c r="H647" t="s">
        <v>18</v>
      </c>
      <c r="I647" t="s">
        <v>1251</v>
      </c>
      <c r="L647" t="s">
        <v>2343</v>
      </c>
      <c r="M647" t="s">
        <v>4274</v>
      </c>
    </row>
    <row r="648" spans="1:13" x14ac:dyDescent="0.3">
      <c r="A648" t="s">
        <v>3891</v>
      </c>
      <c r="B648" t="s">
        <v>3336</v>
      </c>
      <c r="C648">
        <v>120191158</v>
      </c>
      <c r="D648">
        <v>120191304</v>
      </c>
      <c r="E648" t="s">
        <v>3465</v>
      </c>
      <c r="G648" t="s">
        <v>2198</v>
      </c>
      <c r="H648" t="s">
        <v>1161</v>
      </c>
      <c r="I648" t="s">
        <v>3215</v>
      </c>
      <c r="L648" t="s">
        <v>4079</v>
      </c>
      <c r="M648" t="s">
        <v>4274</v>
      </c>
    </row>
    <row r="649" spans="1:13" x14ac:dyDescent="0.3">
      <c r="A649" t="s">
        <v>3894</v>
      </c>
      <c r="B649" t="s">
        <v>3336</v>
      </c>
      <c r="C649">
        <v>120191158</v>
      </c>
      <c r="D649">
        <v>120191307</v>
      </c>
      <c r="E649" t="s">
        <v>3468</v>
      </c>
      <c r="G649" t="s">
        <v>2198</v>
      </c>
      <c r="H649" t="s">
        <v>1269</v>
      </c>
      <c r="I649" t="s">
        <v>3219</v>
      </c>
      <c r="L649" t="s">
        <v>4082</v>
      </c>
      <c r="M649" t="s">
        <v>4274</v>
      </c>
    </row>
    <row r="650" spans="1:13" x14ac:dyDescent="0.3">
      <c r="A650" t="s">
        <v>3883</v>
      </c>
      <c r="B650" t="s">
        <v>3336</v>
      </c>
      <c r="C650">
        <v>120191158</v>
      </c>
      <c r="D650">
        <v>120191146</v>
      </c>
      <c r="E650" t="s">
        <v>3457</v>
      </c>
      <c r="G650" t="s">
        <v>2198</v>
      </c>
      <c r="H650" t="s">
        <v>1119</v>
      </c>
      <c r="I650" t="s">
        <v>3202</v>
      </c>
      <c r="L650" t="s">
        <v>3991</v>
      </c>
      <c r="M650" t="s">
        <v>4274</v>
      </c>
    </row>
    <row r="651" spans="1:13" x14ac:dyDescent="0.3">
      <c r="A651" t="s">
        <v>3884</v>
      </c>
      <c r="B651" t="s">
        <v>3336</v>
      </c>
      <c r="C651">
        <v>120191158</v>
      </c>
      <c r="D651">
        <v>120191147</v>
      </c>
      <c r="E651" t="s">
        <v>3458</v>
      </c>
      <c r="G651" t="s">
        <v>2386</v>
      </c>
      <c r="H651" t="s">
        <v>3203</v>
      </c>
      <c r="I651" t="s">
        <v>3204</v>
      </c>
      <c r="L651" t="s">
        <v>4006</v>
      </c>
      <c r="M651" t="s">
        <v>4274</v>
      </c>
    </row>
    <row r="652" spans="1:13" x14ac:dyDescent="0.3">
      <c r="A652" t="s">
        <v>3880</v>
      </c>
      <c r="B652" t="s">
        <v>3336</v>
      </c>
      <c r="C652">
        <v>120191158</v>
      </c>
      <c r="D652">
        <v>120191143</v>
      </c>
      <c r="E652" t="s">
        <v>3454</v>
      </c>
      <c r="G652" t="s">
        <v>2198</v>
      </c>
      <c r="H652" t="s">
        <v>2242</v>
      </c>
      <c r="I652" t="s">
        <v>1259</v>
      </c>
      <c r="L652" t="s">
        <v>4006</v>
      </c>
      <c r="M652" t="s">
        <v>4274</v>
      </c>
    </row>
    <row r="653" spans="1:13" x14ac:dyDescent="0.3">
      <c r="A653" t="s">
        <v>3892</v>
      </c>
      <c r="B653" t="s">
        <v>3336</v>
      </c>
      <c r="C653">
        <v>120191158</v>
      </c>
      <c r="D653">
        <v>120191305</v>
      </c>
      <c r="E653" t="s">
        <v>3466</v>
      </c>
      <c r="G653" t="s">
        <v>2198</v>
      </c>
      <c r="H653" t="s">
        <v>1270</v>
      </c>
      <c r="I653" t="s">
        <v>3216</v>
      </c>
      <c r="L653" t="s">
        <v>4080</v>
      </c>
      <c r="M653" t="s">
        <v>4274</v>
      </c>
    </row>
    <row r="654" spans="1:13" x14ac:dyDescent="0.3">
      <c r="A654" t="s">
        <v>3872</v>
      </c>
      <c r="B654" t="s">
        <v>3336</v>
      </c>
      <c r="C654">
        <v>120191158</v>
      </c>
      <c r="D654">
        <v>120191273</v>
      </c>
      <c r="E654" t="s">
        <v>3446</v>
      </c>
      <c r="G654" t="s">
        <v>2386</v>
      </c>
      <c r="H654" t="s">
        <v>2493</v>
      </c>
      <c r="I654" t="s">
        <v>2620</v>
      </c>
      <c r="L654" t="s">
        <v>3986</v>
      </c>
      <c r="M654" t="s">
        <v>4274</v>
      </c>
    </row>
    <row r="655" spans="1:13" x14ac:dyDescent="0.3">
      <c r="A655" t="s">
        <v>3868</v>
      </c>
      <c r="B655" t="s">
        <v>3336</v>
      </c>
      <c r="C655">
        <v>120191158</v>
      </c>
      <c r="D655">
        <v>120191269</v>
      </c>
      <c r="E655" t="s">
        <v>3442</v>
      </c>
      <c r="G655" t="s">
        <v>2198</v>
      </c>
      <c r="H655" t="s">
        <v>2523</v>
      </c>
      <c r="I655" t="s">
        <v>2729</v>
      </c>
      <c r="L655" t="s">
        <v>4064</v>
      </c>
      <c r="M655" t="s">
        <v>4274</v>
      </c>
    </row>
    <row r="656" spans="1:13" x14ac:dyDescent="0.3">
      <c r="A656" t="s">
        <v>3906</v>
      </c>
      <c r="B656" t="s">
        <v>3336</v>
      </c>
      <c r="C656">
        <v>120191158</v>
      </c>
      <c r="D656">
        <v>120191339</v>
      </c>
      <c r="E656" t="s">
        <v>3480</v>
      </c>
      <c r="G656" t="s">
        <v>2198</v>
      </c>
      <c r="H656" t="s">
        <v>3234</v>
      </c>
      <c r="I656" t="s">
        <v>3235</v>
      </c>
      <c r="L656" t="s">
        <v>4090</v>
      </c>
      <c r="M656" t="s">
        <v>4274</v>
      </c>
    </row>
    <row r="657" spans="1:13" x14ac:dyDescent="0.3">
      <c r="A657" t="s">
        <v>3908</v>
      </c>
      <c r="B657" t="s">
        <v>3336</v>
      </c>
      <c r="C657">
        <v>120191158</v>
      </c>
      <c r="D657">
        <v>120191341</v>
      </c>
      <c r="E657" t="s">
        <v>3482</v>
      </c>
      <c r="G657" t="s">
        <v>2198</v>
      </c>
      <c r="H657" t="s">
        <v>3236</v>
      </c>
      <c r="I657" t="s">
        <v>3237</v>
      </c>
      <c r="L657" t="s">
        <v>4092</v>
      </c>
      <c r="M657" t="s">
        <v>4274</v>
      </c>
    </row>
    <row r="658" spans="1:13" x14ac:dyDescent="0.3">
      <c r="A658" t="s">
        <v>3887</v>
      </c>
      <c r="B658" t="s">
        <v>3336</v>
      </c>
      <c r="C658">
        <v>120191158</v>
      </c>
      <c r="D658">
        <v>120191300</v>
      </c>
      <c r="E658" t="s">
        <v>3461</v>
      </c>
      <c r="G658" t="s">
        <v>2386</v>
      </c>
      <c r="H658" t="s">
        <v>3207</v>
      </c>
      <c r="I658" t="s">
        <v>3208</v>
      </c>
      <c r="L658" t="s">
        <v>4076</v>
      </c>
      <c r="M658" t="s">
        <v>4274</v>
      </c>
    </row>
    <row r="659" spans="1:13" x14ac:dyDescent="0.3">
      <c r="A659" t="s">
        <v>3879</v>
      </c>
      <c r="B659" t="s">
        <v>3336</v>
      </c>
      <c r="C659">
        <v>120191158</v>
      </c>
      <c r="D659">
        <v>120191142</v>
      </c>
      <c r="E659" t="s">
        <v>3453</v>
      </c>
      <c r="G659" t="s">
        <v>2198</v>
      </c>
      <c r="H659" t="s">
        <v>1133</v>
      </c>
      <c r="I659" t="s">
        <v>3198</v>
      </c>
      <c r="L659" t="s">
        <v>3986</v>
      </c>
      <c r="M659" t="s">
        <v>4274</v>
      </c>
    </row>
    <row r="660" spans="1:13" x14ac:dyDescent="0.3">
      <c r="A660" t="s">
        <v>2828</v>
      </c>
      <c r="B660" t="s">
        <v>2829</v>
      </c>
      <c r="C660">
        <v>120172476</v>
      </c>
      <c r="D660">
        <v>120172479</v>
      </c>
      <c r="E660" t="s">
        <v>2830</v>
      </c>
      <c r="G660" t="s">
        <v>2198</v>
      </c>
      <c r="H660" t="s">
        <v>2851</v>
      </c>
      <c r="I660" t="s">
        <v>2852</v>
      </c>
      <c r="J660" t="s">
        <v>2200</v>
      </c>
    </row>
    <row r="661" spans="1:13" x14ac:dyDescent="0.3">
      <c r="A661" t="s">
        <v>2831</v>
      </c>
      <c r="B661" t="s">
        <v>2829</v>
      </c>
      <c r="C661">
        <v>120172476</v>
      </c>
      <c r="D661">
        <v>120172478</v>
      </c>
      <c r="E661" t="s">
        <v>2832</v>
      </c>
      <c r="G661" t="s">
        <v>2198</v>
      </c>
      <c r="H661" t="s">
        <v>2853</v>
      </c>
      <c r="I661" t="s">
        <v>2854</v>
      </c>
      <c r="J661" t="s">
        <v>2200</v>
      </c>
    </row>
    <row r="662" spans="1:13" x14ac:dyDescent="0.3">
      <c r="A662" t="s">
        <v>2833</v>
      </c>
      <c r="B662" t="s">
        <v>2829</v>
      </c>
      <c r="C662">
        <v>120172476</v>
      </c>
      <c r="D662">
        <v>120172477</v>
      </c>
      <c r="E662" t="s">
        <v>2834</v>
      </c>
      <c r="G662" t="s">
        <v>2198</v>
      </c>
      <c r="H662" t="s">
        <v>1198</v>
      </c>
      <c r="I662" t="s">
        <v>2855</v>
      </c>
      <c r="J662" t="s">
        <v>2200</v>
      </c>
    </row>
    <row r="663" spans="1:13" x14ac:dyDescent="0.3">
      <c r="A663" t="s">
        <v>2122</v>
      </c>
      <c r="B663" t="s">
        <v>120</v>
      </c>
      <c r="C663">
        <v>7496125</v>
      </c>
      <c r="D663">
        <v>120171959</v>
      </c>
      <c r="E663" t="s">
        <v>2389</v>
      </c>
      <c r="G663" t="s">
        <v>2198</v>
      </c>
      <c r="H663" t="s">
        <v>1356</v>
      </c>
      <c r="I663" t="s">
        <v>2390</v>
      </c>
      <c r="J663" t="s">
        <v>2200</v>
      </c>
    </row>
    <row r="664" spans="1:13" x14ac:dyDescent="0.3">
      <c r="A664" t="s">
        <v>119</v>
      </c>
      <c r="B664" t="s">
        <v>120</v>
      </c>
      <c r="C664">
        <v>7496125</v>
      </c>
      <c r="D664">
        <v>101049724</v>
      </c>
      <c r="E664" t="s">
        <v>2391</v>
      </c>
      <c r="F664" t="s">
        <v>2392</v>
      </c>
      <c r="G664" t="s">
        <v>2198</v>
      </c>
      <c r="H664" t="s">
        <v>1168</v>
      </c>
      <c r="I664" t="s">
        <v>2393</v>
      </c>
      <c r="J664" t="s">
        <v>2200</v>
      </c>
      <c r="K664" t="s">
        <v>2394</v>
      </c>
    </row>
    <row r="665" spans="1:13" x14ac:dyDescent="0.3">
      <c r="A665" t="s">
        <v>5239</v>
      </c>
      <c r="B665" t="s">
        <v>5240</v>
      </c>
      <c r="C665">
        <v>110010046</v>
      </c>
      <c r="D665">
        <v>101129481</v>
      </c>
      <c r="E665" t="s">
        <v>5241</v>
      </c>
      <c r="G665" t="s">
        <v>2198</v>
      </c>
      <c r="H665" t="s">
        <v>5242</v>
      </c>
      <c r="I665" t="s">
        <v>5243</v>
      </c>
      <c r="M665" t="s">
        <v>5244</v>
      </c>
    </row>
    <row r="666" spans="1:13" x14ac:dyDescent="0.3">
      <c r="A666" t="s">
        <v>1986</v>
      </c>
      <c r="B666" t="s">
        <v>5240</v>
      </c>
      <c r="C666">
        <v>110010046</v>
      </c>
      <c r="D666">
        <v>120141721</v>
      </c>
      <c r="E666" t="s">
        <v>5245</v>
      </c>
      <c r="F666" t="s">
        <v>5246</v>
      </c>
      <c r="G666" t="s">
        <v>2386</v>
      </c>
      <c r="H666" t="s">
        <v>4882</v>
      </c>
      <c r="I666" t="s">
        <v>5247</v>
      </c>
      <c r="J666" t="s">
        <v>4151</v>
      </c>
      <c r="K666" t="s">
        <v>4118</v>
      </c>
      <c r="L666" t="s">
        <v>5248</v>
      </c>
    </row>
    <row r="667" spans="1:13" x14ac:dyDescent="0.3">
      <c r="A667" t="s">
        <v>5249</v>
      </c>
      <c r="B667" t="s">
        <v>5240</v>
      </c>
      <c r="C667">
        <v>110010046</v>
      </c>
      <c r="D667">
        <v>120147964</v>
      </c>
      <c r="E667" t="s">
        <v>5250</v>
      </c>
      <c r="F667" t="s">
        <v>5244</v>
      </c>
      <c r="G667" t="s">
        <v>2198</v>
      </c>
      <c r="H667" t="s">
        <v>1129</v>
      </c>
      <c r="I667" t="s">
        <v>5251</v>
      </c>
    </row>
    <row r="668" spans="1:13" x14ac:dyDescent="0.3">
      <c r="A668" t="s">
        <v>814</v>
      </c>
      <c r="B668" t="s">
        <v>5252</v>
      </c>
      <c r="C668">
        <v>7502785</v>
      </c>
      <c r="D668">
        <v>101073488</v>
      </c>
      <c r="E668" t="s">
        <v>816</v>
      </c>
      <c r="G668" t="s">
        <v>2198</v>
      </c>
      <c r="H668" t="s">
        <v>1089</v>
      </c>
      <c r="I668" t="s">
        <v>1100</v>
      </c>
      <c r="J668" t="s">
        <v>2200</v>
      </c>
      <c r="K668" t="s">
        <v>5253</v>
      </c>
      <c r="M668" t="s">
        <v>5254</v>
      </c>
    </row>
    <row r="669" spans="1:13" x14ac:dyDescent="0.3">
      <c r="A669" t="s">
        <v>818</v>
      </c>
      <c r="B669" t="s">
        <v>5252</v>
      </c>
      <c r="C669">
        <v>7502785</v>
      </c>
      <c r="D669">
        <v>101073483</v>
      </c>
      <c r="E669" t="s">
        <v>819</v>
      </c>
      <c r="G669" t="s">
        <v>2198</v>
      </c>
      <c r="H669" t="s">
        <v>1091</v>
      </c>
      <c r="I669" t="s">
        <v>1102</v>
      </c>
      <c r="J669" t="s">
        <v>2898</v>
      </c>
      <c r="K669" t="s">
        <v>4611</v>
      </c>
      <c r="M669" t="s">
        <v>5254</v>
      </c>
    </row>
    <row r="670" spans="1:13" x14ac:dyDescent="0.3">
      <c r="A670" t="s">
        <v>820</v>
      </c>
      <c r="B670" t="s">
        <v>5252</v>
      </c>
      <c r="C670">
        <v>7502785</v>
      </c>
      <c r="D670">
        <v>101073487</v>
      </c>
      <c r="E670" t="s">
        <v>821</v>
      </c>
      <c r="G670" t="s">
        <v>2198</v>
      </c>
      <c r="H670" t="s">
        <v>1093</v>
      </c>
      <c r="I670" t="s">
        <v>1104</v>
      </c>
      <c r="J670" t="s">
        <v>2200</v>
      </c>
      <c r="K670" t="s">
        <v>5255</v>
      </c>
      <c r="M670" t="s">
        <v>5254</v>
      </c>
    </row>
    <row r="671" spans="1:13" x14ac:dyDescent="0.3">
      <c r="A671" t="s">
        <v>822</v>
      </c>
      <c r="B671" t="s">
        <v>5252</v>
      </c>
      <c r="C671">
        <v>7502785</v>
      </c>
      <c r="D671">
        <v>101073486</v>
      </c>
      <c r="E671" t="s">
        <v>823</v>
      </c>
      <c r="G671" t="s">
        <v>2198</v>
      </c>
      <c r="H671" t="s">
        <v>1095</v>
      </c>
      <c r="I671" t="s">
        <v>1106</v>
      </c>
      <c r="J671" t="s">
        <v>2200</v>
      </c>
      <c r="K671" t="s">
        <v>4074</v>
      </c>
      <c r="M671" t="s">
        <v>5254</v>
      </c>
    </row>
    <row r="672" spans="1:13" x14ac:dyDescent="0.3">
      <c r="A672" t="s">
        <v>824</v>
      </c>
      <c r="B672" t="s">
        <v>5252</v>
      </c>
      <c r="C672">
        <v>7502785</v>
      </c>
      <c r="D672">
        <v>101073484</v>
      </c>
      <c r="E672" t="s">
        <v>825</v>
      </c>
      <c r="G672" t="s">
        <v>2198</v>
      </c>
      <c r="H672" t="s">
        <v>1097</v>
      </c>
      <c r="I672" t="s">
        <v>1107</v>
      </c>
      <c r="J672" t="s">
        <v>4105</v>
      </c>
      <c r="K672" t="s">
        <v>5256</v>
      </c>
      <c r="M672" t="s">
        <v>5254</v>
      </c>
    </row>
    <row r="673" spans="1:13" x14ac:dyDescent="0.3">
      <c r="A673" t="s">
        <v>826</v>
      </c>
      <c r="B673" t="s">
        <v>5252</v>
      </c>
      <c r="C673">
        <v>7502785</v>
      </c>
      <c r="D673">
        <v>101073485</v>
      </c>
      <c r="E673" t="s">
        <v>827</v>
      </c>
      <c r="G673" t="s">
        <v>2198</v>
      </c>
      <c r="H673" t="s">
        <v>1099</v>
      </c>
      <c r="I673" t="s">
        <v>1109</v>
      </c>
      <c r="J673" t="s">
        <v>2200</v>
      </c>
      <c r="K673" t="s">
        <v>4031</v>
      </c>
      <c r="M673" t="s">
        <v>5254</v>
      </c>
    </row>
    <row r="674" spans="1:13" x14ac:dyDescent="0.3">
      <c r="A674" t="s">
        <v>913</v>
      </c>
      <c r="B674" t="s">
        <v>5252</v>
      </c>
      <c r="C674">
        <v>7502785</v>
      </c>
      <c r="D674">
        <v>101073482</v>
      </c>
      <c r="E674" t="s">
        <v>914</v>
      </c>
      <c r="F674" t="s">
        <v>5257</v>
      </c>
      <c r="G674" t="s">
        <v>2198</v>
      </c>
      <c r="H674" t="s">
        <v>1133</v>
      </c>
      <c r="I674" t="s">
        <v>1159</v>
      </c>
      <c r="J674" t="s">
        <v>2898</v>
      </c>
      <c r="K674" t="s">
        <v>2592</v>
      </c>
      <c r="M674" t="s">
        <v>5254</v>
      </c>
    </row>
    <row r="675" spans="1:13" x14ac:dyDescent="0.3">
      <c r="A675" t="s">
        <v>4425</v>
      </c>
      <c r="B675" t="s">
        <v>4426</v>
      </c>
      <c r="C675">
        <v>120116679</v>
      </c>
      <c r="D675">
        <v>120116720</v>
      </c>
      <c r="E675" t="s">
        <v>4427</v>
      </c>
      <c r="G675" t="s">
        <v>2198</v>
      </c>
      <c r="H675" t="s">
        <v>1129</v>
      </c>
      <c r="I675" t="s">
        <v>4428</v>
      </c>
      <c r="M675" t="s">
        <v>4429</v>
      </c>
    </row>
    <row r="676" spans="1:13" x14ac:dyDescent="0.3">
      <c r="A676" t="s">
        <v>1921</v>
      </c>
      <c r="B676" t="s">
        <v>4323</v>
      </c>
      <c r="C676">
        <v>534217</v>
      </c>
      <c r="D676">
        <v>120169546</v>
      </c>
      <c r="E676" t="s">
        <v>1940</v>
      </c>
      <c r="G676" t="s">
        <v>2386</v>
      </c>
      <c r="H676" t="s">
        <v>4324</v>
      </c>
      <c r="I676" t="s">
        <v>4325</v>
      </c>
      <c r="J676" t="s">
        <v>2200</v>
      </c>
    </row>
    <row r="677" spans="1:13" x14ac:dyDescent="0.3">
      <c r="A677" t="s">
        <v>1922</v>
      </c>
      <c r="B677" t="s">
        <v>4323</v>
      </c>
      <c r="C677">
        <v>534217</v>
      </c>
      <c r="D677">
        <v>120169357</v>
      </c>
      <c r="E677" t="s">
        <v>1941</v>
      </c>
      <c r="G677" t="s">
        <v>2198</v>
      </c>
      <c r="H677" t="s">
        <v>4326</v>
      </c>
      <c r="I677" t="s">
        <v>2857</v>
      </c>
      <c r="J677" t="s">
        <v>2200</v>
      </c>
      <c r="L677" t="s">
        <v>2432</v>
      </c>
    </row>
    <row r="678" spans="1:13" x14ac:dyDescent="0.3">
      <c r="A678" t="s">
        <v>1923</v>
      </c>
      <c r="B678" t="s">
        <v>4323</v>
      </c>
      <c r="C678">
        <v>534217</v>
      </c>
      <c r="D678">
        <v>120169549</v>
      </c>
      <c r="E678" t="s">
        <v>1942</v>
      </c>
      <c r="G678" t="s">
        <v>2198</v>
      </c>
      <c r="H678" t="s">
        <v>1252</v>
      </c>
      <c r="I678" t="s">
        <v>2897</v>
      </c>
      <c r="J678" t="s">
        <v>2200</v>
      </c>
    </row>
    <row r="679" spans="1:13" x14ac:dyDescent="0.3">
      <c r="A679" t="s">
        <v>1924</v>
      </c>
      <c r="B679" t="s">
        <v>4323</v>
      </c>
      <c r="C679">
        <v>534217</v>
      </c>
      <c r="D679">
        <v>120169545</v>
      </c>
      <c r="E679" t="s">
        <v>1943</v>
      </c>
      <c r="G679" t="s">
        <v>2386</v>
      </c>
      <c r="H679" t="s">
        <v>4327</v>
      </c>
      <c r="I679" t="s">
        <v>4328</v>
      </c>
      <c r="J679" t="s">
        <v>2200</v>
      </c>
    </row>
    <row r="680" spans="1:13" x14ac:dyDescent="0.3">
      <c r="A680" t="s">
        <v>1925</v>
      </c>
      <c r="B680" t="s">
        <v>4323</v>
      </c>
      <c r="C680">
        <v>534217</v>
      </c>
      <c r="D680">
        <v>120169650</v>
      </c>
      <c r="E680" t="s">
        <v>1944</v>
      </c>
      <c r="G680" t="s">
        <v>2386</v>
      </c>
      <c r="H680" t="s">
        <v>4329</v>
      </c>
      <c r="I680" t="s">
        <v>4330</v>
      </c>
      <c r="J680" t="s">
        <v>2200</v>
      </c>
      <c r="L680" t="s">
        <v>2432</v>
      </c>
    </row>
    <row r="681" spans="1:13" x14ac:dyDescent="0.3">
      <c r="A681" t="s">
        <v>1926</v>
      </c>
      <c r="B681" t="s">
        <v>4323</v>
      </c>
      <c r="C681">
        <v>534217</v>
      </c>
      <c r="D681">
        <v>120169651</v>
      </c>
      <c r="E681" t="s">
        <v>1945</v>
      </c>
      <c r="G681" t="s">
        <v>2198</v>
      </c>
      <c r="H681" t="s">
        <v>4256</v>
      </c>
      <c r="I681" t="s">
        <v>4331</v>
      </c>
      <c r="J681" t="s">
        <v>2200</v>
      </c>
      <c r="L681" t="s">
        <v>2432</v>
      </c>
    </row>
    <row r="682" spans="1:13" x14ac:dyDescent="0.3">
      <c r="A682" t="s">
        <v>1927</v>
      </c>
      <c r="B682" t="s">
        <v>4323</v>
      </c>
      <c r="C682">
        <v>534217</v>
      </c>
      <c r="D682">
        <v>120169526</v>
      </c>
      <c r="E682" t="s">
        <v>1946</v>
      </c>
      <c r="G682" t="s">
        <v>2198</v>
      </c>
      <c r="H682" t="s">
        <v>2639</v>
      </c>
      <c r="I682" t="s">
        <v>4332</v>
      </c>
      <c r="J682" t="s">
        <v>2200</v>
      </c>
      <c r="L682" t="s">
        <v>2432</v>
      </c>
    </row>
    <row r="683" spans="1:13" x14ac:dyDescent="0.3">
      <c r="A683" t="s">
        <v>1928</v>
      </c>
      <c r="B683" t="s">
        <v>4323</v>
      </c>
      <c r="C683">
        <v>534217</v>
      </c>
      <c r="D683">
        <v>120169498</v>
      </c>
      <c r="E683" t="s">
        <v>1947</v>
      </c>
      <c r="G683" t="s">
        <v>2198</v>
      </c>
      <c r="H683" t="s">
        <v>4333</v>
      </c>
      <c r="I683" t="s">
        <v>4334</v>
      </c>
      <c r="J683" t="s">
        <v>2200</v>
      </c>
      <c r="L683" t="s">
        <v>2432</v>
      </c>
    </row>
    <row r="684" spans="1:13" x14ac:dyDescent="0.3">
      <c r="A684" t="s">
        <v>1929</v>
      </c>
      <c r="B684" t="s">
        <v>4323</v>
      </c>
      <c r="C684">
        <v>534217</v>
      </c>
      <c r="D684">
        <v>120069753</v>
      </c>
      <c r="E684" t="s">
        <v>1948</v>
      </c>
      <c r="G684" t="s">
        <v>2198</v>
      </c>
      <c r="H684" t="s">
        <v>4335</v>
      </c>
      <c r="I684" t="s">
        <v>4336</v>
      </c>
      <c r="J684" t="s">
        <v>2200</v>
      </c>
      <c r="L684" t="s">
        <v>4337</v>
      </c>
    </row>
    <row r="685" spans="1:13" x14ac:dyDescent="0.3">
      <c r="A685" t="s">
        <v>1991</v>
      </c>
      <c r="B685" t="s">
        <v>4323</v>
      </c>
      <c r="C685">
        <v>534217</v>
      </c>
      <c r="D685">
        <v>100748289</v>
      </c>
      <c r="G685" t="s">
        <v>2198</v>
      </c>
      <c r="H685" t="s">
        <v>1226</v>
      </c>
      <c r="I685" t="s">
        <v>4338</v>
      </c>
      <c r="L685" t="s">
        <v>4339</v>
      </c>
      <c r="M685" t="s">
        <v>4340</v>
      </c>
    </row>
    <row r="686" spans="1:13" x14ac:dyDescent="0.3">
      <c r="A686" t="s">
        <v>4341</v>
      </c>
      <c r="B686" t="s">
        <v>4323</v>
      </c>
      <c r="C686">
        <v>534217</v>
      </c>
      <c r="D686">
        <v>120169547</v>
      </c>
      <c r="E686" t="s">
        <v>1953</v>
      </c>
      <c r="G686" t="s">
        <v>2198</v>
      </c>
      <c r="H686" t="s">
        <v>4342</v>
      </c>
      <c r="I686" t="s">
        <v>2686</v>
      </c>
      <c r="J686" t="s">
        <v>2200</v>
      </c>
    </row>
    <row r="687" spans="1:13" x14ac:dyDescent="0.3">
      <c r="A687" t="s">
        <v>5258</v>
      </c>
      <c r="B687" t="s">
        <v>5259</v>
      </c>
      <c r="C687">
        <v>7480788</v>
      </c>
      <c r="D687">
        <v>101007040</v>
      </c>
      <c r="E687" t="s">
        <v>5260</v>
      </c>
      <c r="G687" t="s">
        <v>2198</v>
      </c>
      <c r="H687" t="s">
        <v>73</v>
      </c>
      <c r="I687" t="s">
        <v>5261</v>
      </c>
      <c r="M687" t="s">
        <v>5262</v>
      </c>
    </row>
    <row r="688" spans="1:13" x14ac:dyDescent="0.3">
      <c r="A688" t="s">
        <v>2741</v>
      </c>
      <c r="B688" t="s">
        <v>2742</v>
      </c>
      <c r="C688">
        <v>7461846</v>
      </c>
      <c r="D688">
        <v>100993182</v>
      </c>
      <c r="E688" t="s">
        <v>2743</v>
      </c>
      <c r="G688" t="s">
        <v>2198</v>
      </c>
      <c r="H688" t="s">
        <v>2749</v>
      </c>
      <c r="I688" t="s">
        <v>1175</v>
      </c>
      <c r="K688" t="s">
        <v>2750</v>
      </c>
      <c r="M688" t="s">
        <v>2751</v>
      </c>
    </row>
    <row r="689" spans="1:13" x14ac:dyDescent="0.3">
      <c r="A689" t="s">
        <v>2744</v>
      </c>
      <c r="B689" t="s">
        <v>2742</v>
      </c>
      <c r="C689">
        <v>7461846</v>
      </c>
      <c r="D689">
        <v>120056369</v>
      </c>
      <c r="E689" t="s">
        <v>2745</v>
      </c>
      <c r="F689" t="s">
        <v>2746</v>
      </c>
      <c r="G689" t="s">
        <v>2198</v>
      </c>
      <c r="H689" t="s">
        <v>2752</v>
      </c>
      <c r="I689" t="s">
        <v>2753</v>
      </c>
      <c r="J689" t="s">
        <v>2200</v>
      </c>
      <c r="L689" t="s">
        <v>2750</v>
      </c>
    </row>
    <row r="690" spans="1:13" x14ac:dyDescent="0.3">
      <c r="A690" t="s">
        <v>2747</v>
      </c>
      <c r="B690" t="s">
        <v>2742</v>
      </c>
      <c r="C690">
        <v>7461846</v>
      </c>
      <c r="D690">
        <v>120056760</v>
      </c>
      <c r="E690" t="s">
        <v>2748</v>
      </c>
      <c r="G690" t="s">
        <v>2198</v>
      </c>
      <c r="H690" t="s">
        <v>1141</v>
      </c>
      <c r="I690" t="s">
        <v>2616</v>
      </c>
      <c r="J690" t="s">
        <v>2200</v>
      </c>
      <c r="L690" t="s">
        <v>2750</v>
      </c>
    </row>
    <row r="691" spans="1:13" x14ac:dyDescent="0.3">
      <c r="A691" t="s">
        <v>4556</v>
      </c>
      <c r="B691" t="s">
        <v>4426</v>
      </c>
      <c r="C691">
        <v>535258</v>
      </c>
      <c r="D691">
        <v>120171579</v>
      </c>
      <c r="G691" t="s">
        <v>2198</v>
      </c>
      <c r="H691" t="s">
        <v>1129</v>
      </c>
      <c r="I691" t="s">
        <v>4557</v>
      </c>
      <c r="M691" t="s">
        <v>4558</v>
      </c>
    </row>
    <row r="692" spans="1:13" x14ac:dyDescent="0.3">
      <c r="A692" t="s">
        <v>4559</v>
      </c>
      <c r="B692" t="s">
        <v>4426</v>
      </c>
      <c r="C692">
        <v>535258</v>
      </c>
      <c r="D692">
        <v>100749681</v>
      </c>
      <c r="E692" t="s">
        <v>4560</v>
      </c>
      <c r="G692" t="s">
        <v>2198</v>
      </c>
      <c r="H692" t="s">
        <v>4561</v>
      </c>
      <c r="I692" t="s">
        <v>3102</v>
      </c>
      <c r="J692" t="s">
        <v>4151</v>
      </c>
      <c r="K692" t="s">
        <v>4562</v>
      </c>
    </row>
    <row r="693" spans="1:13" x14ac:dyDescent="0.3">
      <c r="A693" t="s">
        <v>4563</v>
      </c>
      <c r="B693" t="s">
        <v>4426</v>
      </c>
      <c r="C693">
        <v>535258</v>
      </c>
      <c r="D693">
        <v>100749683</v>
      </c>
      <c r="G693" t="s">
        <v>2198</v>
      </c>
      <c r="H693" t="s">
        <v>4211</v>
      </c>
      <c r="I693" t="s">
        <v>4564</v>
      </c>
      <c r="J693" t="s">
        <v>4151</v>
      </c>
      <c r="M693" t="s">
        <v>4565</v>
      </c>
    </row>
    <row r="694" spans="1:13" x14ac:dyDescent="0.3">
      <c r="A694" t="s">
        <v>4566</v>
      </c>
      <c r="B694" t="s">
        <v>4426</v>
      </c>
      <c r="C694">
        <v>535258</v>
      </c>
      <c r="D694">
        <v>100749682</v>
      </c>
      <c r="E694" t="s">
        <v>4567</v>
      </c>
      <c r="G694" t="s">
        <v>2198</v>
      </c>
      <c r="H694" t="s">
        <v>1133</v>
      </c>
      <c r="I694" t="s">
        <v>4568</v>
      </c>
      <c r="J694" t="s">
        <v>4151</v>
      </c>
      <c r="K694" t="s">
        <v>4562</v>
      </c>
    </row>
    <row r="695" spans="1:13" x14ac:dyDescent="0.3">
      <c r="A695" t="s">
        <v>4569</v>
      </c>
      <c r="B695" t="s">
        <v>4426</v>
      </c>
      <c r="C695">
        <v>535258</v>
      </c>
      <c r="D695">
        <v>120198485</v>
      </c>
      <c r="E695" t="s">
        <v>4570</v>
      </c>
      <c r="F695" t="s">
        <v>4571</v>
      </c>
      <c r="G695" t="s">
        <v>2198</v>
      </c>
      <c r="H695" t="s">
        <v>2469</v>
      </c>
      <c r="I695" t="s">
        <v>4572</v>
      </c>
    </row>
    <row r="696" spans="1:13" x14ac:dyDescent="0.3">
      <c r="A696" t="s">
        <v>5263</v>
      </c>
      <c r="B696" t="s">
        <v>5264</v>
      </c>
      <c r="C696">
        <v>7461854</v>
      </c>
      <c r="D696">
        <v>100993190</v>
      </c>
      <c r="E696" t="s">
        <v>5265</v>
      </c>
      <c r="G696" t="s">
        <v>2198</v>
      </c>
      <c r="H696" t="s">
        <v>1352</v>
      </c>
      <c r="I696" t="s">
        <v>5266</v>
      </c>
      <c r="J696" t="s">
        <v>2200</v>
      </c>
      <c r="M696" t="s">
        <v>5267</v>
      </c>
    </row>
    <row r="697" spans="1:13" x14ac:dyDescent="0.3">
      <c r="A697" t="s">
        <v>5268</v>
      </c>
      <c r="B697" t="s">
        <v>5264</v>
      </c>
      <c r="C697">
        <v>7461854</v>
      </c>
      <c r="D697">
        <v>100993188</v>
      </c>
      <c r="E697" t="s">
        <v>5269</v>
      </c>
      <c r="G697" t="s">
        <v>2198</v>
      </c>
      <c r="H697" t="s">
        <v>1169</v>
      </c>
      <c r="I697" t="s">
        <v>5270</v>
      </c>
      <c r="J697" t="s">
        <v>2200</v>
      </c>
      <c r="M697" t="s">
        <v>5267</v>
      </c>
    </row>
    <row r="698" spans="1:13" x14ac:dyDescent="0.3">
      <c r="A698" t="s">
        <v>66</v>
      </c>
      <c r="B698" t="s">
        <v>5264</v>
      </c>
      <c r="C698">
        <v>7461854</v>
      </c>
      <c r="D698">
        <v>100993191</v>
      </c>
      <c r="E698" t="s">
        <v>5271</v>
      </c>
      <c r="G698" t="s">
        <v>2198</v>
      </c>
      <c r="H698" t="s">
        <v>1370</v>
      </c>
      <c r="I698" t="s">
        <v>5272</v>
      </c>
      <c r="J698" t="s">
        <v>2200</v>
      </c>
      <c r="M698" t="s">
        <v>5267</v>
      </c>
    </row>
    <row r="699" spans="1:13" x14ac:dyDescent="0.3">
      <c r="A699" t="s">
        <v>65</v>
      </c>
      <c r="B699" t="s">
        <v>5264</v>
      </c>
      <c r="C699">
        <v>7461854</v>
      </c>
      <c r="D699">
        <v>100993187</v>
      </c>
      <c r="E699" t="s">
        <v>5273</v>
      </c>
      <c r="G699" t="s">
        <v>2198</v>
      </c>
      <c r="H699" t="s">
        <v>1358</v>
      </c>
      <c r="I699" t="s">
        <v>5274</v>
      </c>
      <c r="J699" t="s">
        <v>2200</v>
      </c>
      <c r="K699" t="s">
        <v>3993</v>
      </c>
      <c r="M699" t="s">
        <v>5267</v>
      </c>
    </row>
    <row r="700" spans="1:13" x14ac:dyDescent="0.3">
      <c r="A700" t="s">
        <v>54</v>
      </c>
      <c r="B700" t="s">
        <v>5264</v>
      </c>
      <c r="C700">
        <v>7461854</v>
      </c>
      <c r="D700">
        <v>100993192</v>
      </c>
      <c r="E700" t="s">
        <v>5275</v>
      </c>
      <c r="G700" t="s">
        <v>2198</v>
      </c>
      <c r="H700" t="s">
        <v>1089</v>
      </c>
      <c r="I700" t="s">
        <v>5276</v>
      </c>
      <c r="M700" t="s">
        <v>5267</v>
      </c>
    </row>
    <row r="701" spans="1:13" x14ac:dyDescent="0.3">
      <c r="A701" t="s">
        <v>5277</v>
      </c>
      <c r="B701" t="s">
        <v>5264</v>
      </c>
      <c r="C701">
        <v>7461854</v>
      </c>
      <c r="D701">
        <v>100993189</v>
      </c>
      <c r="E701" t="s">
        <v>5278</v>
      </c>
      <c r="G701" t="s">
        <v>2198</v>
      </c>
      <c r="H701" t="s">
        <v>1127</v>
      </c>
      <c r="I701" t="s">
        <v>5279</v>
      </c>
      <c r="J701" t="s">
        <v>4151</v>
      </c>
      <c r="M701" t="s">
        <v>5267</v>
      </c>
    </row>
    <row r="702" spans="1:13" x14ac:dyDescent="0.3">
      <c r="A702" t="s">
        <v>5280</v>
      </c>
      <c r="B702" t="s">
        <v>5264</v>
      </c>
      <c r="C702">
        <v>7461854</v>
      </c>
      <c r="D702">
        <v>100993186</v>
      </c>
      <c r="E702" t="s">
        <v>5281</v>
      </c>
      <c r="G702" t="s">
        <v>2198</v>
      </c>
      <c r="H702" t="s">
        <v>5282</v>
      </c>
      <c r="I702" t="s">
        <v>5283</v>
      </c>
      <c r="J702" t="s">
        <v>2898</v>
      </c>
      <c r="K702" t="s">
        <v>5284</v>
      </c>
      <c r="M702" t="s">
        <v>5267</v>
      </c>
    </row>
    <row r="703" spans="1:13" x14ac:dyDescent="0.3">
      <c r="A703" t="s">
        <v>793</v>
      </c>
      <c r="B703" t="s">
        <v>5285</v>
      </c>
      <c r="C703">
        <v>7502568</v>
      </c>
      <c r="D703">
        <v>101072684</v>
      </c>
      <c r="E703" t="s">
        <v>795</v>
      </c>
      <c r="F703" t="s">
        <v>5286</v>
      </c>
      <c r="G703" t="s">
        <v>2198</v>
      </c>
      <c r="H703" t="s">
        <v>1353</v>
      </c>
      <c r="I703" t="s">
        <v>5287</v>
      </c>
      <c r="J703" t="s">
        <v>2898</v>
      </c>
      <c r="K703" t="s">
        <v>4036</v>
      </c>
      <c r="M703" t="s">
        <v>5288</v>
      </c>
    </row>
    <row r="704" spans="1:13" x14ac:dyDescent="0.3">
      <c r="A704" t="s">
        <v>798</v>
      </c>
      <c r="B704" t="s">
        <v>5285</v>
      </c>
      <c r="C704">
        <v>7502568</v>
      </c>
      <c r="D704">
        <v>101072682</v>
      </c>
      <c r="E704" t="s">
        <v>799</v>
      </c>
      <c r="G704" t="s">
        <v>2198</v>
      </c>
      <c r="H704" t="s">
        <v>1091</v>
      </c>
      <c r="I704" t="s">
        <v>5289</v>
      </c>
      <c r="J704" t="s">
        <v>4573</v>
      </c>
      <c r="M704" t="s">
        <v>5288</v>
      </c>
    </row>
    <row r="705" spans="1:13" x14ac:dyDescent="0.3">
      <c r="A705" t="s">
        <v>800</v>
      </c>
      <c r="B705" t="s">
        <v>5285</v>
      </c>
      <c r="C705">
        <v>7502568</v>
      </c>
      <c r="D705">
        <v>101072683</v>
      </c>
      <c r="E705" t="s">
        <v>801</v>
      </c>
      <c r="G705" t="s">
        <v>2198</v>
      </c>
      <c r="H705" t="s">
        <v>5290</v>
      </c>
      <c r="I705" t="s">
        <v>5291</v>
      </c>
      <c r="J705" t="s">
        <v>2901</v>
      </c>
      <c r="K705" t="s">
        <v>5292</v>
      </c>
      <c r="M705" t="s">
        <v>5288</v>
      </c>
    </row>
    <row r="706" spans="1:13" x14ac:dyDescent="0.3">
      <c r="A706" t="s">
        <v>1995</v>
      </c>
      <c r="B706" t="s">
        <v>1996</v>
      </c>
      <c r="C706">
        <v>110012649</v>
      </c>
      <c r="D706">
        <v>120171892</v>
      </c>
      <c r="E706" t="s">
        <v>5293</v>
      </c>
      <c r="F706" t="s">
        <v>5294</v>
      </c>
      <c r="G706" t="s">
        <v>2198</v>
      </c>
      <c r="H706" t="s">
        <v>1182</v>
      </c>
      <c r="I706" t="s">
        <v>2384</v>
      </c>
      <c r="J706" t="s">
        <v>2200</v>
      </c>
    </row>
    <row r="707" spans="1:13" x14ac:dyDescent="0.3">
      <c r="A707" t="s">
        <v>5295</v>
      </c>
      <c r="B707" t="s">
        <v>1996</v>
      </c>
      <c r="C707">
        <v>110012649</v>
      </c>
      <c r="D707">
        <v>101137402</v>
      </c>
      <c r="E707" t="s">
        <v>5296</v>
      </c>
      <c r="F707" t="s">
        <v>5297</v>
      </c>
      <c r="G707" t="s">
        <v>2198</v>
      </c>
      <c r="H707" t="s">
        <v>5298</v>
      </c>
      <c r="I707" t="s">
        <v>5299</v>
      </c>
      <c r="K707" t="s">
        <v>2431</v>
      </c>
      <c r="L707" t="s">
        <v>5300</v>
      </c>
    </row>
    <row r="708" spans="1:13" x14ac:dyDescent="0.3">
      <c r="A708" t="s">
        <v>2149</v>
      </c>
      <c r="B708" t="s">
        <v>2463</v>
      </c>
      <c r="C708">
        <v>520170</v>
      </c>
      <c r="D708">
        <v>120171983</v>
      </c>
      <c r="E708" t="s">
        <v>2464</v>
      </c>
      <c r="G708" t="s">
        <v>2198</v>
      </c>
      <c r="H708" t="s">
        <v>2465</v>
      </c>
      <c r="I708" t="s">
        <v>2466</v>
      </c>
      <c r="J708" t="s">
        <v>2200</v>
      </c>
    </row>
    <row r="709" spans="1:13" x14ac:dyDescent="0.3">
      <c r="A709" t="s">
        <v>2467</v>
      </c>
      <c r="B709" t="s">
        <v>2463</v>
      </c>
      <c r="C709">
        <v>520170</v>
      </c>
      <c r="D709">
        <v>101140240</v>
      </c>
      <c r="E709" t="s">
        <v>2468</v>
      </c>
      <c r="G709" t="s">
        <v>2198</v>
      </c>
      <c r="H709" t="s">
        <v>2469</v>
      </c>
      <c r="I709" t="s">
        <v>2470</v>
      </c>
      <c r="K709" t="s">
        <v>2431</v>
      </c>
      <c r="M709" t="s">
        <v>2471</v>
      </c>
    </row>
    <row r="710" spans="1:13" x14ac:dyDescent="0.3">
      <c r="A710" t="s">
        <v>221</v>
      </c>
      <c r="B710" t="s">
        <v>2463</v>
      </c>
      <c r="C710">
        <v>520170</v>
      </c>
      <c r="D710">
        <v>101058774</v>
      </c>
      <c r="E710" t="s">
        <v>223</v>
      </c>
      <c r="G710" t="s">
        <v>2386</v>
      </c>
      <c r="H710" t="s">
        <v>1218</v>
      </c>
      <c r="I710" t="s">
        <v>2472</v>
      </c>
      <c r="M710" t="s">
        <v>2471</v>
      </c>
    </row>
    <row r="711" spans="1:13" x14ac:dyDescent="0.3">
      <c r="A711" t="s">
        <v>2145</v>
      </c>
      <c r="B711" t="s">
        <v>2463</v>
      </c>
      <c r="C711">
        <v>520170</v>
      </c>
      <c r="D711">
        <v>120171979</v>
      </c>
      <c r="E711" t="s">
        <v>2473</v>
      </c>
      <c r="G711" t="s">
        <v>2198</v>
      </c>
      <c r="H711" t="s">
        <v>2474</v>
      </c>
      <c r="I711" t="s">
        <v>2475</v>
      </c>
      <c r="J711" t="s">
        <v>2200</v>
      </c>
    </row>
    <row r="712" spans="1:13" x14ac:dyDescent="0.3">
      <c r="A712" t="s">
        <v>1992</v>
      </c>
      <c r="B712" t="s">
        <v>2463</v>
      </c>
      <c r="C712">
        <v>520170</v>
      </c>
      <c r="D712">
        <v>120169795</v>
      </c>
      <c r="E712" t="s">
        <v>2476</v>
      </c>
      <c r="G712" t="s">
        <v>2198</v>
      </c>
      <c r="H712" t="s">
        <v>1182</v>
      </c>
      <c r="I712" t="s">
        <v>2477</v>
      </c>
      <c r="J712" t="s">
        <v>2200</v>
      </c>
    </row>
    <row r="713" spans="1:13" ht="15" customHeight="1" x14ac:dyDescent="0.3">
      <c r="A713" t="s">
        <v>2144</v>
      </c>
      <c r="B713" t="s">
        <v>2463</v>
      </c>
      <c r="C713">
        <v>520170</v>
      </c>
      <c r="D713">
        <v>120171978</v>
      </c>
      <c r="E713" t="s">
        <v>2478</v>
      </c>
      <c r="G713" t="s">
        <v>2198</v>
      </c>
      <c r="H713" t="s">
        <v>1258</v>
      </c>
      <c r="I713" t="s">
        <v>2479</v>
      </c>
      <c r="J713" t="s">
        <v>2200</v>
      </c>
    </row>
    <row r="714" spans="1:13" x14ac:dyDescent="0.3">
      <c r="A714" t="s">
        <v>225</v>
      </c>
      <c r="B714" t="s">
        <v>2463</v>
      </c>
      <c r="C714">
        <v>520170</v>
      </c>
      <c r="D714">
        <v>100733292</v>
      </c>
      <c r="E714" t="s">
        <v>226</v>
      </c>
      <c r="G714" t="s">
        <v>2198</v>
      </c>
      <c r="H714" t="s">
        <v>2396</v>
      </c>
      <c r="I714" t="s">
        <v>2480</v>
      </c>
      <c r="L714" t="s">
        <v>2481</v>
      </c>
      <c r="M714" t="s">
        <v>2482</v>
      </c>
    </row>
    <row r="715" spans="1:13" x14ac:dyDescent="0.3">
      <c r="A715" t="s">
        <v>227</v>
      </c>
      <c r="B715" t="s">
        <v>2463</v>
      </c>
      <c r="C715">
        <v>520170</v>
      </c>
      <c r="D715">
        <v>100733288</v>
      </c>
      <c r="G715" t="s">
        <v>2198</v>
      </c>
      <c r="H715" t="s">
        <v>1115</v>
      </c>
      <c r="I715" t="s">
        <v>2483</v>
      </c>
      <c r="M715" t="s">
        <v>2484</v>
      </c>
    </row>
    <row r="716" spans="1:13" x14ac:dyDescent="0.3">
      <c r="A716" t="s">
        <v>1993</v>
      </c>
      <c r="B716" t="s">
        <v>2463</v>
      </c>
      <c r="C716">
        <v>520170</v>
      </c>
      <c r="D716">
        <v>120171890</v>
      </c>
      <c r="E716" t="s">
        <v>2485</v>
      </c>
      <c r="F716" t="s">
        <v>2486</v>
      </c>
      <c r="G716" t="s">
        <v>2198</v>
      </c>
      <c r="H716" t="s">
        <v>2487</v>
      </c>
      <c r="I716" t="s">
        <v>2488</v>
      </c>
      <c r="J716" t="s">
        <v>2200</v>
      </c>
    </row>
    <row r="717" spans="1:13" x14ac:dyDescent="0.3">
      <c r="A717" t="s">
        <v>2150</v>
      </c>
      <c r="B717" t="s">
        <v>2463</v>
      </c>
      <c r="C717">
        <v>520170</v>
      </c>
      <c r="D717">
        <v>120171984</v>
      </c>
      <c r="E717" t="s">
        <v>2489</v>
      </c>
      <c r="G717" t="s">
        <v>2198</v>
      </c>
      <c r="H717" t="s">
        <v>1136</v>
      </c>
      <c r="I717" t="s">
        <v>1157</v>
      </c>
      <c r="J717" t="s">
        <v>2200</v>
      </c>
    </row>
    <row r="718" spans="1:13" x14ac:dyDescent="0.3">
      <c r="A718" t="s">
        <v>2687</v>
      </c>
      <c r="B718" t="s">
        <v>2463</v>
      </c>
      <c r="C718">
        <v>520170</v>
      </c>
      <c r="D718">
        <v>101140241</v>
      </c>
      <c r="E718" t="s">
        <v>2688</v>
      </c>
      <c r="F718" t="s">
        <v>2689</v>
      </c>
      <c r="G718" t="s">
        <v>2198</v>
      </c>
      <c r="H718" t="s">
        <v>2690</v>
      </c>
      <c r="I718" t="s">
        <v>2691</v>
      </c>
      <c r="M718" t="s">
        <v>2471</v>
      </c>
    </row>
    <row r="719" spans="1:13" x14ac:dyDescent="0.3">
      <c r="A719" t="s">
        <v>2147</v>
      </c>
      <c r="B719" t="s">
        <v>2463</v>
      </c>
      <c r="C719">
        <v>520170</v>
      </c>
      <c r="D719">
        <v>120171981</v>
      </c>
      <c r="E719" t="s">
        <v>2692</v>
      </c>
      <c r="G719" t="s">
        <v>2198</v>
      </c>
      <c r="H719" t="s">
        <v>2693</v>
      </c>
      <c r="I719" t="s">
        <v>2694</v>
      </c>
      <c r="J719" t="s">
        <v>2200</v>
      </c>
    </row>
    <row r="720" spans="1:13" x14ac:dyDescent="0.3">
      <c r="A720" t="s">
        <v>2695</v>
      </c>
      <c r="B720" t="s">
        <v>2463</v>
      </c>
      <c r="C720">
        <v>520170</v>
      </c>
      <c r="D720">
        <v>120169794</v>
      </c>
      <c r="E720" t="s">
        <v>2696</v>
      </c>
      <c r="G720" t="s">
        <v>2198</v>
      </c>
      <c r="H720" t="s">
        <v>1226</v>
      </c>
      <c r="I720" t="s">
        <v>2697</v>
      </c>
      <c r="J720" t="s">
        <v>2200</v>
      </c>
      <c r="K720" t="s">
        <v>2698</v>
      </c>
      <c r="L720" t="s">
        <v>2432</v>
      </c>
      <c r="M720" t="s">
        <v>2699</v>
      </c>
    </row>
    <row r="721" spans="1:13" x14ac:dyDescent="0.3">
      <c r="A721" t="s">
        <v>228</v>
      </c>
      <c r="B721" t="s">
        <v>2463</v>
      </c>
      <c r="C721">
        <v>520170</v>
      </c>
      <c r="D721">
        <v>101058767</v>
      </c>
      <c r="E721" t="s">
        <v>229</v>
      </c>
      <c r="G721" t="s">
        <v>2198</v>
      </c>
      <c r="H721" t="s">
        <v>1133</v>
      </c>
      <c r="I721" t="s">
        <v>2700</v>
      </c>
      <c r="M721" t="s">
        <v>2471</v>
      </c>
    </row>
    <row r="722" spans="1:13" x14ac:dyDescent="0.3">
      <c r="A722" t="s">
        <v>2701</v>
      </c>
      <c r="B722" t="s">
        <v>2463</v>
      </c>
      <c r="C722">
        <v>520170</v>
      </c>
      <c r="D722">
        <v>101140219</v>
      </c>
      <c r="E722" t="s">
        <v>2702</v>
      </c>
      <c r="G722" t="s">
        <v>2198</v>
      </c>
      <c r="H722" t="s">
        <v>2703</v>
      </c>
      <c r="I722" t="s">
        <v>2704</v>
      </c>
      <c r="K722" t="s">
        <v>2431</v>
      </c>
      <c r="M722" t="s">
        <v>2705</v>
      </c>
    </row>
    <row r="723" spans="1:13" x14ac:dyDescent="0.3">
      <c r="A723" t="s">
        <v>230</v>
      </c>
      <c r="B723" t="s">
        <v>2463</v>
      </c>
      <c r="C723">
        <v>520170</v>
      </c>
      <c r="D723">
        <v>100733289</v>
      </c>
      <c r="G723" t="s">
        <v>2198</v>
      </c>
      <c r="H723" t="s">
        <v>1169</v>
      </c>
      <c r="I723" t="s">
        <v>2706</v>
      </c>
      <c r="M723" t="s">
        <v>2482</v>
      </c>
    </row>
    <row r="724" spans="1:13" x14ac:dyDescent="0.3">
      <c r="A724" t="s">
        <v>2707</v>
      </c>
      <c r="B724" t="s">
        <v>2463</v>
      </c>
      <c r="C724">
        <v>520170</v>
      </c>
      <c r="D724">
        <v>101140243</v>
      </c>
      <c r="E724" t="s">
        <v>2708</v>
      </c>
      <c r="F724" t="s">
        <v>2709</v>
      </c>
      <c r="G724" t="s">
        <v>2386</v>
      </c>
      <c r="H724" t="s">
        <v>2710</v>
      </c>
      <c r="I724" t="s">
        <v>1251</v>
      </c>
      <c r="M724" t="s">
        <v>2711</v>
      </c>
    </row>
    <row r="725" spans="1:13" x14ac:dyDescent="0.3">
      <c r="A725" t="s">
        <v>231</v>
      </c>
      <c r="B725" t="s">
        <v>2463</v>
      </c>
      <c r="C725">
        <v>520170</v>
      </c>
      <c r="D725">
        <v>101058773</v>
      </c>
      <c r="E725" t="s">
        <v>232</v>
      </c>
      <c r="G725" t="s">
        <v>2198</v>
      </c>
      <c r="H725" t="s">
        <v>2515</v>
      </c>
      <c r="I725" t="s">
        <v>2712</v>
      </c>
      <c r="M725" t="s">
        <v>2471</v>
      </c>
    </row>
    <row r="726" spans="1:13" x14ac:dyDescent="0.3">
      <c r="A726" t="s">
        <v>2713</v>
      </c>
      <c r="B726" t="s">
        <v>2463</v>
      </c>
      <c r="C726">
        <v>520170</v>
      </c>
      <c r="D726">
        <v>101140242</v>
      </c>
      <c r="E726" t="s">
        <v>2714</v>
      </c>
      <c r="F726" t="s">
        <v>2715</v>
      </c>
      <c r="G726" t="s">
        <v>2386</v>
      </c>
      <c r="H726" t="s">
        <v>2716</v>
      </c>
      <c r="I726" t="s">
        <v>2717</v>
      </c>
      <c r="M726" t="s">
        <v>2718</v>
      </c>
    </row>
    <row r="727" spans="1:13" x14ac:dyDescent="0.3">
      <c r="A727" t="s">
        <v>233</v>
      </c>
      <c r="B727" t="s">
        <v>2463</v>
      </c>
      <c r="C727">
        <v>520170</v>
      </c>
      <c r="D727">
        <v>100733287</v>
      </c>
      <c r="G727" t="s">
        <v>2198</v>
      </c>
      <c r="H727" t="s">
        <v>1135</v>
      </c>
      <c r="I727" t="s">
        <v>2719</v>
      </c>
      <c r="M727" t="s">
        <v>2484</v>
      </c>
    </row>
    <row r="728" spans="1:13" x14ac:dyDescent="0.3">
      <c r="A728" t="s">
        <v>234</v>
      </c>
      <c r="B728" t="s">
        <v>2463</v>
      </c>
      <c r="C728">
        <v>520170</v>
      </c>
      <c r="D728">
        <v>100733290</v>
      </c>
      <c r="E728" t="s">
        <v>235</v>
      </c>
      <c r="G728" t="s">
        <v>2198</v>
      </c>
      <c r="H728" t="s">
        <v>2720</v>
      </c>
      <c r="I728" t="s">
        <v>2721</v>
      </c>
      <c r="L728" t="s">
        <v>2722</v>
      </c>
      <c r="M728" t="s">
        <v>2723</v>
      </c>
    </row>
    <row r="729" spans="1:13" x14ac:dyDescent="0.3">
      <c r="A729" t="s">
        <v>236</v>
      </c>
      <c r="B729" t="s">
        <v>2463</v>
      </c>
      <c r="C729">
        <v>520170</v>
      </c>
      <c r="D729">
        <v>100733293</v>
      </c>
      <c r="E729" t="s">
        <v>237</v>
      </c>
      <c r="G729" t="s">
        <v>2198</v>
      </c>
      <c r="H729" t="s">
        <v>2724</v>
      </c>
      <c r="I729" t="s">
        <v>2725</v>
      </c>
      <c r="M729" t="s">
        <v>2726</v>
      </c>
    </row>
    <row r="730" spans="1:13" x14ac:dyDescent="0.3">
      <c r="A730" t="s">
        <v>2148</v>
      </c>
      <c r="B730" t="s">
        <v>2463</v>
      </c>
      <c r="C730">
        <v>520170</v>
      </c>
      <c r="D730">
        <v>120171982</v>
      </c>
      <c r="E730" t="s">
        <v>2727</v>
      </c>
      <c r="G730" t="s">
        <v>2198</v>
      </c>
      <c r="H730" t="s">
        <v>1150</v>
      </c>
      <c r="I730" t="s">
        <v>2728</v>
      </c>
      <c r="J730" t="s">
        <v>2200</v>
      </c>
    </row>
    <row r="731" spans="1:13" x14ac:dyDescent="0.3">
      <c r="A731" t="s">
        <v>238</v>
      </c>
      <c r="B731" t="s">
        <v>2463</v>
      </c>
      <c r="C731">
        <v>520170</v>
      </c>
      <c r="D731">
        <v>100733291</v>
      </c>
      <c r="E731" t="s">
        <v>239</v>
      </c>
      <c r="G731" t="s">
        <v>2198</v>
      </c>
      <c r="H731" t="s">
        <v>2572</v>
      </c>
      <c r="I731" t="s">
        <v>2729</v>
      </c>
      <c r="L731" t="s">
        <v>2730</v>
      </c>
      <c r="M731" t="s">
        <v>2482</v>
      </c>
    </row>
    <row r="732" spans="1:13" x14ac:dyDescent="0.3">
      <c r="A732" t="s">
        <v>2146</v>
      </c>
      <c r="B732" t="s">
        <v>2463</v>
      </c>
      <c r="C732">
        <v>520170</v>
      </c>
      <c r="D732">
        <v>120171980</v>
      </c>
      <c r="E732" t="s">
        <v>2731</v>
      </c>
      <c r="G732" t="s">
        <v>2198</v>
      </c>
      <c r="H732" t="s">
        <v>1119</v>
      </c>
      <c r="I732" t="s">
        <v>2732</v>
      </c>
      <c r="J732" t="s">
        <v>2200</v>
      </c>
    </row>
    <row r="733" spans="1:13" x14ac:dyDescent="0.3">
      <c r="A733" t="s">
        <v>4593</v>
      </c>
      <c r="B733" t="s">
        <v>4594</v>
      </c>
      <c r="C733">
        <v>7464171</v>
      </c>
      <c r="D733">
        <v>120111877</v>
      </c>
      <c r="E733" t="s">
        <v>4595</v>
      </c>
      <c r="G733" t="s">
        <v>2198</v>
      </c>
      <c r="H733" t="s">
        <v>4596</v>
      </c>
      <c r="I733" t="s">
        <v>3296</v>
      </c>
      <c r="M733" t="s">
        <v>4597</v>
      </c>
    </row>
    <row r="734" spans="1:13" x14ac:dyDescent="0.3">
      <c r="A734" t="s">
        <v>21</v>
      </c>
      <c r="B734" t="s">
        <v>4594</v>
      </c>
      <c r="C734">
        <v>7464171</v>
      </c>
      <c r="D734">
        <v>100995197</v>
      </c>
      <c r="E734" t="s">
        <v>4598</v>
      </c>
      <c r="G734" t="s">
        <v>2198</v>
      </c>
      <c r="H734" t="s">
        <v>2523</v>
      </c>
      <c r="I734" t="s">
        <v>1176</v>
      </c>
      <c r="J734" t="s">
        <v>2200</v>
      </c>
      <c r="M734" t="s">
        <v>4599</v>
      </c>
    </row>
    <row r="735" spans="1:13" x14ac:dyDescent="0.3">
      <c r="A735" t="s">
        <v>269</v>
      </c>
      <c r="B735" t="s">
        <v>5301</v>
      </c>
      <c r="C735">
        <v>7477482</v>
      </c>
      <c r="D735">
        <v>101004038</v>
      </c>
      <c r="E735" t="s">
        <v>271</v>
      </c>
      <c r="G735" t="s">
        <v>2386</v>
      </c>
      <c r="H735" t="s">
        <v>71</v>
      </c>
      <c r="I735" t="s">
        <v>4604</v>
      </c>
      <c r="M735" t="s">
        <v>5302</v>
      </c>
    </row>
    <row r="736" spans="1:13" x14ac:dyDescent="0.3">
      <c r="A736" t="s">
        <v>5303</v>
      </c>
      <c r="B736" t="s">
        <v>5301</v>
      </c>
      <c r="C736">
        <v>7477482</v>
      </c>
      <c r="D736">
        <v>120081965</v>
      </c>
      <c r="E736" t="s">
        <v>5304</v>
      </c>
      <c r="G736" t="s">
        <v>2198</v>
      </c>
      <c r="H736" t="s">
        <v>5305</v>
      </c>
      <c r="I736" t="s">
        <v>5306</v>
      </c>
      <c r="J736" t="s">
        <v>2200</v>
      </c>
      <c r="L736" t="s">
        <v>5307</v>
      </c>
    </row>
    <row r="737" spans="1:13" x14ac:dyDescent="0.3">
      <c r="A737" t="s">
        <v>273</v>
      </c>
      <c r="B737" t="s">
        <v>5301</v>
      </c>
      <c r="C737">
        <v>7477482</v>
      </c>
      <c r="D737">
        <v>101004040</v>
      </c>
      <c r="E737" t="s">
        <v>274</v>
      </c>
      <c r="G737" t="s">
        <v>2198</v>
      </c>
      <c r="H737" t="s">
        <v>2242</v>
      </c>
      <c r="I737" t="s">
        <v>5308</v>
      </c>
      <c r="K737" t="s">
        <v>4031</v>
      </c>
    </row>
    <row r="738" spans="1:13" x14ac:dyDescent="0.3">
      <c r="A738" t="s">
        <v>113</v>
      </c>
      <c r="B738" t="s">
        <v>5301</v>
      </c>
      <c r="C738">
        <v>7477482</v>
      </c>
      <c r="D738">
        <v>101004039</v>
      </c>
      <c r="E738" t="s">
        <v>5309</v>
      </c>
      <c r="G738" t="s">
        <v>2198</v>
      </c>
      <c r="H738" t="s">
        <v>1091</v>
      </c>
      <c r="I738" t="s">
        <v>5310</v>
      </c>
    </row>
    <row r="739" spans="1:13" x14ac:dyDescent="0.3">
      <c r="A739" t="s">
        <v>5311</v>
      </c>
      <c r="B739" t="s">
        <v>5301</v>
      </c>
      <c r="C739">
        <v>7477482</v>
      </c>
      <c r="D739">
        <v>101003619</v>
      </c>
      <c r="G739" t="s">
        <v>2198</v>
      </c>
      <c r="H739" t="s">
        <v>1161</v>
      </c>
      <c r="I739" t="s">
        <v>1252</v>
      </c>
    </row>
    <row r="740" spans="1:13" x14ac:dyDescent="0.3">
      <c r="A740" t="s">
        <v>275</v>
      </c>
      <c r="B740" t="s">
        <v>5301</v>
      </c>
      <c r="C740">
        <v>7477482</v>
      </c>
      <c r="D740">
        <v>101004037</v>
      </c>
      <c r="E740" t="s">
        <v>276</v>
      </c>
      <c r="G740" t="s">
        <v>2198</v>
      </c>
      <c r="H740" t="s">
        <v>2425</v>
      </c>
      <c r="I740" t="s">
        <v>3059</v>
      </c>
    </row>
    <row r="741" spans="1:13" x14ac:dyDescent="0.3">
      <c r="A741" t="s">
        <v>5312</v>
      </c>
      <c r="B741" t="s">
        <v>5301</v>
      </c>
      <c r="C741">
        <v>7477482</v>
      </c>
      <c r="D741">
        <v>101035119</v>
      </c>
      <c r="G741" t="s">
        <v>2198</v>
      </c>
      <c r="H741" t="s">
        <v>5313</v>
      </c>
      <c r="I741" t="s">
        <v>5314</v>
      </c>
    </row>
    <row r="742" spans="1:13" x14ac:dyDescent="0.3">
      <c r="A742" t="s">
        <v>5315</v>
      </c>
      <c r="B742" t="s">
        <v>5301</v>
      </c>
      <c r="C742">
        <v>7477482</v>
      </c>
      <c r="D742">
        <v>120081988</v>
      </c>
      <c r="E742" t="s">
        <v>5316</v>
      </c>
      <c r="G742" t="s">
        <v>2198</v>
      </c>
      <c r="H742" t="s">
        <v>1196</v>
      </c>
      <c r="I742" t="s">
        <v>2620</v>
      </c>
      <c r="J742" t="s">
        <v>2200</v>
      </c>
      <c r="L742" t="s">
        <v>5307</v>
      </c>
    </row>
    <row r="743" spans="1:13" x14ac:dyDescent="0.3">
      <c r="A743" t="s">
        <v>88</v>
      </c>
      <c r="B743" t="s">
        <v>5317</v>
      </c>
      <c r="C743">
        <v>7483886</v>
      </c>
      <c r="D743">
        <v>101009555</v>
      </c>
      <c r="G743" t="s">
        <v>2198</v>
      </c>
      <c r="H743" t="s">
        <v>5318</v>
      </c>
      <c r="I743" t="s">
        <v>1192</v>
      </c>
      <c r="M743" t="s">
        <v>5319</v>
      </c>
    </row>
    <row r="744" spans="1:13" x14ac:dyDescent="0.3">
      <c r="A744" t="s">
        <v>2979</v>
      </c>
      <c r="B744" t="s">
        <v>2980</v>
      </c>
      <c r="C744">
        <v>7468017</v>
      </c>
      <c r="D744">
        <v>120172608</v>
      </c>
      <c r="E744" t="s">
        <v>2981</v>
      </c>
      <c r="G744" t="s">
        <v>2198</v>
      </c>
      <c r="H744" t="s">
        <v>2982</v>
      </c>
      <c r="I744" t="s">
        <v>2983</v>
      </c>
    </row>
    <row r="745" spans="1:13" x14ac:dyDescent="0.3">
      <c r="A745" t="s">
        <v>2984</v>
      </c>
      <c r="B745" t="s">
        <v>2980</v>
      </c>
      <c r="C745">
        <v>7468017</v>
      </c>
      <c r="D745">
        <v>120172607</v>
      </c>
      <c r="E745" t="s">
        <v>2985</v>
      </c>
      <c r="G745" t="s">
        <v>2198</v>
      </c>
      <c r="H745" t="s">
        <v>2986</v>
      </c>
      <c r="I745" t="s">
        <v>2983</v>
      </c>
    </row>
    <row r="746" spans="1:13" x14ac:dyDescent="0.3">
      <c r="A746" t="s">
        <v>2987</v>
      </c>
      <c r="B746" t="s">
        <v>2980</v>
      </c>
      <c r="C746">
        <v>7468017</v>
      </c>
      <c r="D746">
        <v>120172609</v>
      </c>
      <c r="E746" t="s">
        <v>2988</v>
      </c>
      <c r="G746" t="s">
        <v>2198</v>
      </c>
      <c r="H746" t="s">
        <v>1135</v>
      </c>
      <c r="I746" t="s">
        <v>2989</v>
      </c>
    </row>
    <row r="747" spans="1:13" x14ac:dyDescent="0.3">
      <c r="A747" t="s">
        <v>2977</v>
      </c>
      <c r="B747" t="s">
        <v>2980</v>
      </c>
      <c r="C747">
        <v>7468017</v>
      </c>
      <c r="D747">
        <v>120172630</v>
      </c>
      <c r="E747" t="s">
        <v>2990</v>
      </c>
      <c r="G747" t="s">
        <v>2198</v>
      </c>
      <c r="H747" t="s">
        <v>2406</v>
      </c>
      <c r="I747" t="s">
        <v>2991</v>
      </c>
    </row>
    <row r="748" spans="1:13" x14ac:dyDescent="0.3">
      <c r="A748" t="s">
        <v>2992</v>
      </c>
      <c r="B748" t="s">
        <v>2980</v>
      </c>
      <c r="C748">
        <v>7468017</v>
      </c>
      <c r="D748">
        <v>120043485</v>
      </c>
      <c r="E748" t="s">
        <v>2993</v>
      </c>
      <c r="F748" t="s">
        <v>2994</v>
      </c>
      <c r="G748" t="s">
        <v>2198</v>
      </c>
      <c r="H748" t="s">
        <v>1157</v>
      </c>
      <c r="I748" t="s">
        <v>2991</v>
      </c>
      <c r="J748" t="s">
        <v>4105</v>
      </c>
      <c r="L748" t="s">
        <v>4141</v>
      </c>
      <c r="M748" t="s">
        <v>5320</v>
      </c>
    </row>
    <row r="749" spans="1:13" x14ac:dyDescent="0.3">
      <c r="A749" t="s">
        <v>2978</v>
      </c>
      <c r="B749" t="s">
        <v>2980</v>
      </c>
      <c r="C749">
        <v>7468017</v>
      </c>
      <c r="D749">
        <v>120172631</v>
      </c>
      <c r="E749" t="s">
        <v>2995</v>
      </c>
      <c r="G749" t="s">
        <v>2198</v>
      </c>
      <c r="H749" t="s">
        <v>1131</v>
      </c>
      <c r="I749" t="s">
        <v>2991</v>
      </c>
    </row>
    <row r="750" spans="1:13" x14ac:dyDescent="0.3">
      <c r="A750" t="s">
        <v>932</v>
      </c>
      <c r="B750" t="s">
        <v>1300</v>
      </c>
      <c r="C750">
        <v>502003</v>
      </c>
      <c r="D750">
        <v>100301035</v>
      </c>
      <c r="E750" t="s">
        <v>934</v>
      </c>
      <c r="G750" t="s">
        <v>2386</v>
      </c>
      <c r="H750" t="s">
        <v>1180</v>
      </c>
      <c r="I750" t="s">
        <v>1181</v>
      </c>
      <c r="K750" t="s">
        <v>2343</v>
      </c>
      <c r="M750" t="s">
        <v>5321</v>
      </c>
    </row>
    <row r="751" spans="1:13" x14ac:dyDescent="0.3">
      <c r="A751" t="s">
        <v>938</v>
      </c>
      <c r="B751" t="s">
        <v>1300</v>
      </c>
      <c r="C751">
        <v>502003</v>
      </c>
      <c r="D751">
        <v>100301050</v>
      </c>
      <c r="E751" t="s">
        <v>939</v>
      </c>
      <c r="G751" t="s">
        <v>2198</v>
      </c>
      <c r="H751" t="s">
        <v>1184</v>
      </c>
      <c r="I751" t="s">
        <v>1183</v>
      </c>
      <c r="M751" t="s">
        <v>5321</v>
      </c>
    </row>
    <row r="752" spans="1:13" x14ac:dyDescent="0.3">
      <c r="A752" t="s">
        <v>936</v>
      </c>
      <c r="B752" t="s">
        <v>1300</v>
      </c>
      <c r="C752">
        <v>502003</v>
      </c>
      <c r="D752">
        <v>100301029</v>
      </c>
      <c r="E752" t="s">
        <v>937</v>
      </c>
      <c r="G752" t="s">
        <v>2198</v>
      </c>
      <c r="H752" t="s">
        <v>1182</v>
      </c>
      <c r="I752" t="s">
        <v>1183</v>
      </c>
      <c r="M752" t="s">
        <v>5321</v>
      </c>
    </row>
    <row r="753" spans="1:13" x14ac:dyDescent="0.3">
      <c r="A753" t="s">
        <v>940</v>
      </c>
      <c r="B753" t="s">
        <v>1300</v>
      </c>
      <c r="C753">
        <v>502003</v>
      </c>
      <c r="D753">
        <v>100301023</v>
      </c>
      <c r="E753" t="s">
        <v>941</v>
      </c>
      <c r="G753" t="s">
        <v>2198</v>
      </c>
      <c r="H753" t="s">
        <v>1185</v>
      </c>
      <c r="I753" t="s">
        <v>933</v>
      </c>
      <c r="K753" t="s">
        <v>4118</v>
      </c>
      <c r="L753" t="s">
        <v>4118</v>
      </c>
      <c r="M753" t="s">
        <v>5322</v>
      </c>
    </row>
    <row r="754" spans="1:13" x14ac:dyDescent="0.3">
      <c r="A754" t="s">
        <v>942</v>
      </c>
      <c r="B754" t="s">
        <v>1300</v>
      </c>
      <c r="C754">
        <v>502003</v>
      </c>
      <c r="D754">
        <v>100301039</v>
      </c>
      <c r="E754" t="s">
        <v>943</v>
      </c>
      <c r="G754" t="s">
        <v>2198</v>
      </c>
      <c r="H754" t="s">
        <v>1097</v>
      </c>
      <c r="I754" t="s">
        <v>1186</v>
      </c>
      <c r="M754" t="s">
        <v>5321</v>
      </c>
    </row>
    <row r="755" spans="1:13" x14ac:dyDescent="0.3">
      <c r="A755" t="s">
        <v>5323</v>
      </c>
      <c r="B755" t="s">
        <v>1300</v>
      </c>
      <c r="C755">
        <v>502003</v>
      </c>
      <c r="D755">
        <v>120022647</v>
      </c>
      <c r="E755" t="s">
        <v>5324</v>
      </c>
      <c r="F755" t="s">
        <v>5325</v>
      </c>
      <c r="G755" t="s">
        <v>2386</v>
      </c>
      <c r="H755" t="s">
        <v>2577</v>
      </c>
      <c r="I755" t="s">
        <v>5326</v>
      </c>
      <c r="J755" t="s">
        <v>4151</v>
      </c>
      <c r="L755" t="s">
        <v>5327</v>
      </c>
    </row>
    <row r="756" spans="1:13" x14ac:dyDescent="0.3">
      <c r="A756" t="s">
        <v>944</v>
      </c>
      <c r="B756" t="s">
        <v>1300</v>
      </c>
      <c r="C756">
        <v>502003</v>
      </c>
      <c r="D756">
        <v>100301064</v>
      </c>
      <c r="E756" t="s">
        <v>945</v>
      </c>
      <c r="G756" t="s">
        <v>2386</v>
      </c>
      <c r="H756" t="s">
        <v>1187</v>
      </c>
      <c r="I756" t="s">
        <v>1188</v>
      </c>
      <c r="M756" t="s">
        <v>5321</v>
      </c>
    </row>
    <row r="757" spans="1:13" x14ac:dyDescent="0.3">
      <c r="A757" t="s">
        <v>5328</v>
      </c>
      <c r="B757" t="s">
        <v>1300</v>
      </c>
      <c r="C757">
        <v>502003</v>
      </c>
      <c r="D757">
        <v>101120511</v>
      </c>
      <c r="E757" t="s">
        <v>5329</v>
      </c>
      <c r="G757" t="s">
        <v>2198</v>
      </c>
      <c r="H757" t="s">
        <v>5330</v>
      </c>
      <c r="I757" t="s">
        <v>5331</v>
      </c>
      <c r="M757" t="s">
        <v>5321</v>
      </c>
    </row>
    <row r="758" spans="1:13" x14ac:dyDescent="0.3">
      <c r="A758" t="s">
        <v>946</v>
      </c>
      <c r="B758" t="s">
        <v>1300</v>
      </c>
      <c r="C758">
        <v>502003</v>
      </c>
      <c r="D758">
        <v>100301061</v>
      </c>
      <c r="E758" t="s">
        <v>947</v>
      </c>
      <c r="G758" t="s">
        <v>2386</v>
      </c>
      <c r="H758" t="s">
        <v>1189</v>
      </c>
      <c r="I758" t="s">
        <v>1190</v>
      </c>
      <c r="M758" t="s">
        <v>5321</v>
      </c>
    </row>
    <row r="759" spans="1:13" x14ac:dyDescent="0.3">
      <c r="A759" t="s">
        <v>948</v>
      </c>
      <c r="B759" t="s">
        <v>1300</v>
      </c>
      <c r="C759">
        <v>502003</v>
      </c>
      <c r="D759">
        <v>101022640</v>
      </c>
      <c r="E759" t="s">
        <v>949</v>
      </c>
      <c r="G759" t="s">
        <v>2386</v>
      </c>
      <c r="H759" t="s">
        <v>1191</v>
      </c>
      <c r="I759" t="s">
        <v>1192</v>
      </c>
      <c r="M759" t="s">
        <v>5321</v>
      </c>
    </row>
    <row r="760" spans="1:13" x14ac:dyDescent="0.3">
      <c r="A760" t="s">
        <v>950</v>
      </c>
      <c r="B760" t="s">
        <v>1300</v>
      </c>
      <c r="C760">
        <v>502003</v>
      </c>
      <c r="D760">
        <v>100301044</v>
      </c>
      <c r="E760" t="s">
        <v>951</v>
      </c>
      <c r="G760" t="s">
        <v>2198</v>
      </c>
      <c r="H760" t="s">
        <v>1162</v>
      </c>
      <c r="I760" t="s">
        <v>1193</v>
      </c>
      <c r="M760" t="s">
        <v>5321</v>
      </c>
    </row>
    <row r="761" spans="1:13" x14ac:dyDescent="0.3">
      <c r="A761" t="s">
        <v>952</v>
      </c>
      <c r="B761" t="s">
        <v>1300</v>
      </c>
      <c r="C761">
        <v>502003</v>
      </c>
      <c r="D761">
        <v>101022912</v>
      </c>
      <c r="E761" t="s">
        <v>953</v>
      </c>
      <c r="G761" t="s">
        <v>2386</v>
      </c>
      <c r="H761" t="s">
        <v>1194</v>
      </c>
      <c r="I761" t="s">
        <v>1195</v>
      </c>
      <c r="M761" t="s">
        <v>5321</v>
      </c>
    </row>
    <row r="762" spans="1:13" x14ac:dyDescent="0.3">
      <c r="A762" t="s">
        <v>954</v>
      </c>
      <c r="B762" t="s">
        <v>1300</v>
      </c>
      <c r="C762">
        <v>502003</v>
      </c>
      <c r="D762">
        <v>100301036</v>
      </c>
      <c r="E762" t="s">
        <v>955</v>
      </c>
      <c r="F762" t="s">
        <v>5332</v>
      </c>
      <c r="G762" t="s">
        <v>2198</v>
      </c>
      <c r="H762" t="s">
        <v>1196</v>
      </c>
      <c r="I762" t="s">
        <v>1197</v>
      </c>
      <c r="M762" t="s">
        <v>5321</v>
      </c>
    </row>
    <row r="763" spans="1:13" x14ac:dyDescent="0.3">
      <c r="A763" t="s">
        <v>959</v>
      </c>
      <c r="B763" t="s">
        <v>1300</v>
      </c>
      <c r="C763">
        <v>502003</v>
      </c>
      <c r="D763">
        <v>100301030</v>
      </c>
      <c r="E763" t="s">
        <v>960</v>
      </c>
      <c r="G763" t="s">
        <v>2386</v>
      </c>
      <c r="H763" t="s">
        <v>1200</v>
      </c>
      <c r="I763" t="s">
        <v>1199</v>
      </c>
      <c r="M763" t="s">
        <v>5321</v>
      </c>
    </row>
    <row r="764" spans="1:13" x14ac:dyDescent="0.3">
      <c r="A764" t="s">
        <v>957</v>
      </c>
      <c r="B764" t="s">
        <v>1300</v>
      </c>
      <c r="C764">
        <v>502003</v>
      </c>
      <c r="D764">
        <v>100301045</v>
      </c>
      <c r="E764" t="s">
        <v>958</v>
      </c>
      <c r="G764" t="s">
        <v>2198</v>
      </c>
      <c r="H764" t="s">
        <v>1198</v>
      </c>
      <c r="I764" t="s">
        <v>1199</v>
      </c>
      <c r="M764" t="s">
        <v>5321</v>
      </c>
    </row>
    <row r="765" spans="1:13" x14ac:dyDescent="0.3">
      <c r="A765" t="s">
        <v>961</v>
      </c>
      <c r="B765" t="s">
        <v>1300</v>
      </c>
      <c r="C765">
        <v>502003</v>
      </c>
      <c r="D765">
        <v>100301048</v>
      </c>
      <c r="E765" t="s">
        <v>962</v>
      </c>
      <c r="F765" t="s">
        <v>5333</v>
      </c>
      <c r="G765" t="s">
        <v>2198</v>
      </c>
      <c r="H765" t="s">
        <v>1115</v>
      </c>
      <c r="I765" t="s">
        <v>1201</v>
      </c>
      <c r="K765" t="s">
        <v>4118</v>
      </c>
      <c r="M765" t="s">
        <v>5321</v>
      </c>
    </row>
    <row r="766" spans="1:13" x14ac:dyDescent="0.3">
      <c r="A766" t="s">
        <v>964</v>
      </c>
      <c r="B766" t="s">
        <v>1300</v>
      </c>
      <c r="C766">
        <v>502003</v>
      </c>
      <c r="D766">
        <v>100301052</v>
      </c>
      <c r="E766" t="s">
        <v>965</v>
      </c>
      <c r="F766" t="s">
        <v>5334</v>
      </c>
      <c r="G766" t="s">
        <v>2198</v>
      </c>
      <c r="H766" t="s">
        <v>1202</v>
      </c>
      <c r="I766" t="s">
        <v>1203</v>
      </c>
      <c r="J766" t="s">
        <v>4874</v>
      </c>
      <c r="K766" t="s">
        <v>5335</v>
      </c>
      <c r="M766" t="s">
        <v>5321</v>
      </c>
    </row>
    <row r="767" spans="1:13" x14ac:dyDescent="0.3">
      <c r="A767" t="s">
        <v>970</v>
      </c>
      <c r="B767" t="s">
        <v>1300</v>
      </c>
      <c r="C767">
        <v>502003</v>
      </c>
      <c r="D767">
        <v>101023530</v>
      </c>
      <c r="E767" t="s">
        <v>971</v>
      </c>
      <c r="G767" t="s">
        <v>2198</v>
      </c>
      <c r="H767" t="s">
        <v>1205</v>
      </c>
      <c r="I767" t="s">
        <v>1206</v>
      </c>
      <c r="M767" t="s">
        <v>5321</v>
      </c>
    </row>
    <row r="768" spans="1:13" x14ac:dyDescent="0.3">
      <c r="A768" t="s">
        <v>5336</v>
      </c>
      <c r="B768" t="s">
        <v>1300</v>
      </c>
      <c r="C768">
        <v>502003</v>
      </c>
      <c r="D768">
        <v>120102420</v>
      </c>
      <c r="E768" t="s">
        <v>5337</v>
      </c>
      <c r="G768" t="s">
        <v>2386</v>
      </c>
      <c r="H768" t="s">
        <v>5338</v>
      </c>
      <c r="I768" t="s">
        <v>1207</v>
      </c>
      <c r="M768" t="s">
        <v>5339</v>
      </c>
    </row>
    <row r="769" spans="1:13" x14ac:dyDescent="0.3">
      <c r="A769" t="s">
        <v>972</v>
      </c>
      <c r="B769" t="s">
        <v>1300</v>
      </c>
      <c r="C769">
        <v>502003</v>
      </c>
      <c r="D769">
        <v>100301026</v>
      </c>
      <c r="E769" t="s">
        <v>973</v>
      </c>
      <c r="F769" t="s">
        <v>5340</v>
      </c>
      <c r="G769" t="s">
        <v>2198</v>
      </c>
      <c r="H769" t="s">
        <v>1089</v>
      </c>
      <c r="I769" t="s">
        <v>1207</v>
      </c>
      <c r="J769" t="s">
        <v>4105</v>
      </c>
      <c r="K769" t="s">
        <v>2431</v>
      </c>
      <c r="M769" t="s">
        <v>5341</v>
      </c>
    </row>
    <row r="770" spans="1:13" x14ac:dyDescent="0.3">
      <c r="A770" t="s">
        <v>975</v>
      </c>
      <c r="B770" t="s">
        <v>1300</v>
      </c>
      <c r="C770">
        <v>502003</v>
      </c>
      <c r="D770">
        <v>101023450</v>
      </c>
      <c r="E770" t="s">
        <v>976</v>
      </c>
      <c r="G770" t="s">
        <v>2386</v>
      </c>
      <c r="H770" t="s">
        <v>1208</v>
      </c>
      <c r="I770" t="s">
        <v>1209</v>
      </c>
      <c r="M770" t="s">
        <v>5321</v>
      </c>
    </row>
    <row r="771" spans="1:13" x14ac:dyDescent="0.3">
      <c r="A771" t="s">
        <v>977</v>
      </c>
      <c r="B771" t="s">
        <v>1300</v>
      </c>
      <c r="C771">
        <v>502003</v>
      </c>
      <c r="D771">
        <v>100301033</v>
      </c>
      <c r="E771" t="s">
        <v>978</v>
      </c>
      <c r="G771" t="s">
        <v>2198</v>
      </c>
      <c r="H771" t="s">
        <v>18</v>
      </c>
      <c r="I771" t="s">
        <v>1210</v>
      </c>
      <c r="J771" t="s">
        <v>2200</v>
      </c>
      <c r="K771" t="s">
        <v>2431</v>
      </c>
      <c r="M771" t="s">
        <v>5321</v>
      </c>
    </row>
    <row r="772" spans="1:13" x14ac:dyDescent="0.3">
      <c r="A772" t="s">
        <v>5342</v>
      </c>
      <c r="B772" t="s">
        <v>1300</v>
      </c>
      <c r="C772">
        <v>502003</v>
      </c>
      <c r="D772">
        <v>120043503</v>
      </c>
      <c r="E772" t="s">
        <v>5343</v>
      </c>
      <c r="G772" t="s">
        <v>2198</v>
      </c>
      <c r="H772" t="s">
        <v>1370</v>
      </c>
      <c r="I772" t="s">
        <v>5344</v>
      </c>
      <c r="K772" t="s">
        <v>5345</v>
      </c>
      <c r="L772" t="s">
        <v>3991</v>
      </c>
      <c r="M772" t="s">
        <v>5346</v>
      </c>
    </row>
    <row r="773" spans="1:13" x14ac:dyDescent="0.3">
      <c r="A773" t="s">
        <v>979</v>
      </c>
      <c r="B773" t="s">
        <v>1300</v>
      </c>
      <c r="C773">
        <v>502003</v>
      </c>
      <c r="D773">
        <v>100301063</v>
      </c>
      <c r="E773" t="s">
        <v>980</v>
      </c>
      <c r="G773" t="s">
        <v>2386</v>
      </c>
      <c r="H773" t="s">
        <v>1211</v>
      </c>
      <c r="I773" t="s">
        <v>1212</v>
      </c>
      <c r="M773" t="s">
        <v>5321</v>
      </c>
    </row>
    <row r="774" spans="1:13" x14ac:dyDescent="0.3">
      <c r="A774" t="s">
        <v>981</v>
      </c>
      <c r="B774" t="s">
        <v>1300</v>
      </c>
      <c r="C774">
        <v>502003</v>
      </c>
      <c r="D774">
        <v>101022991</v>
      </c>
      <c r="E774" t="s">
        <v>982</v>
      </c>
      <c r="G774" t="s">
        <v>2198</v>
      </c>
      <c r="H774" t="s">
        <v>1146</v>
      </c>
      <c r="I774" t="s">
        <v>1213</v>
      </c>
      <c r="M774" t="s">
        <v>5321</v>
      </c>
    </row>
    <row r="775" spans="1:13" x14ac:dyDescent="0.3">
      <c r="A775" t="s">
        <v>983</v>
      </c>
      <c r="B775" t="s">
        <v>1300</v>
      </c>
      <c r="C775">
        <v>502003</v>
      </c>
      <c r="D775">
        <v>101090484</v>
      </c>
      <c r="E775" t="s">
        <v>984</v>
      </c>
      <c r="G775" t="s">
        <v>2386</v>
      </c>
      <c r="H775" t="s">
        <v>1214</v>
      </c>
      <c r="I775" t="s">
        <v>1215</v>
      </c>
      <c r="M775" t="s">
        <v>5321</v>
      </c>
    </row>
    <row r="776" spans="1:13" x14ac:dyDescent="0.3">
      <c r="A776" t="s">
        <v>985</v>
      </c>
      <c r="B776" t="s">
        <v>1300</v>
      </c>
      <c r="C776">
        <v>502003</v>
      </c>
      <c r="D776">
        <v>100301049</v>
      </c>
      <c r="E776" t="s">
        <v>986</v>
      </c>
      <c r="F776" t="s">
        <v>5347</v>
      </c>
      <c r="G776" t="s">
        <v>2198</v>
      </c>
      <c r="H776" t="s">
        <v>18</v>
      </c>
      <c r="I776" t="s">
        <v>1216</v>
      </c>
      <c r="M776" t="s">
        <v>5321</v>
      </c>
    </row>
    <row r="777" spans="1:13" x14ac:dyDescent="0.3">
      <c r="A777" t="s">
        <v>988</v>
      </c>
      <c r="B777" t="s">
        <v>1300</v>
      </c>
      <c r="C777">
        <v>502003</v>
      </c>
      <c r="D777">
        <v>100301046</v>
      </c>
      <c r="E777" t="s">
        <v>989</v>
      </c>
      <c r="G777" t="s">
        <v>2198</v>
      </c>
      <c r="H777" t="s">
        <v>1161</v>
      </c>
      <c r="I777" t="s">
        <v>1217</v>
      </c>
      <c r="M777" t="s">
        <v>5321</v>
      </c>
    </row>
    <row r="778" spans="1:13" x14ac:dyDescent="0.3">
      <c r="A778" t="s">
        <v>990</v>
      </c>
      <c r="B778" t="s">
        <v>1300</v>
      </c>
      <c r="C778">
        <v>502003</v>
      </c>
      <c r="D778">
        <v>100301057</v>
      </c>
      <c r="E778" t="s">
        <v>991</v>
      </c>
      <c r="G778" t="s">
        <v>2386</v>
      </c>
      <c r="H778" t="s">
        <v>1218</v>
      </c>
      <c r="I778" t="s">
        <v>1219</v>
      </c>
      <c r="M778" t="s">
        <v>5321</v>
      </c>
    </row>
    <row r="779" spans="1:13" x14ac:dyDescent="0.3">
      <c r="A779" t="s">
        <v>992</v>
      </c>
      <c r="B779" t="s">
        <v>1300</v>
      </c>
      <c r="C779">
        <v>502003</v>
      </c>
      <c r="D779">
        <v>100301040</v>
      </c>
      <c r="E779" t="s">
        <v>993</v>
      </c>
      <c r="G779" t="s">
        <v>2198</v>
      </c>
      <c r="H779" t="s">
        <v>1220</v>
      </c>
      <c r="I779" t="s">
        <v>1221</v>
      </c>
      <c r="M779" t="s">
        <v>5321</v>
      </c>
    </row>
    <row r="780" spans="1:13" x14ac:dyDescent="0.3">
      <c r="A780" t="s">
        <v>994</v>
      </c>
      <c r="B780" t="s">
        <v>1300</v>
      </c>
      <c r="C780">
        <v>502003</v>
      </c>
      <c r="D780">
        <v>100301062</v>
      </c>
      <c r="E780" t="s">
        <v>995</v>
      </c>
      <c r="G780" t="s">
        <v>2198</v>
      </c>
      <c r="H780" t="s">
        <v>1222</v>
      </c>
      <c r="I780" t="s">
        <v>1223</v>
      </c>
      <c r="M780" t="s">
        <v>5321</v>
      </c>
    </row>
    <row r="781" spans="1:13" x14ac:dyDescent="0.3">
      <c r="A781" t="s">
        <v>5348</v>
      </c>
      <c r="B781" t="s">
        <v>1300</v>
      </c>
      <c r="C781">
        <v>502003</v>
      </c>
      <c r="D781">
        <v>120197270</v>
      </c>
      <c r="E781" t="s">
        <v>5349</v>
      </c>
      <c r="G781" t="s">
        <v>2198</v>
      </c>
      <c r="H781" t="s">
        <v>18</v>
      </c>
      <c r="I781" t="s">
        <v>2649</v>
      </c>
    </row>
    <row r="782" spans="1:13" x14ac:dyDescent="0.3">
      <c r="A782" t="s">
        <v>996</v>
      </c>
      <c r="B782" t="s">
        <v>1300</v>
      </c>
      <c r="C782">
        <v>502003</v>
      </c>
      <c r="D782">
        <v>101022638</v>
      </c>
      <c r="E782" t="s">
        <v>997</v>
      </c>
      <c r="G782" t="s">
        <v>2386</v>
      </c>
      <c r="H782" t="s">
        <v>1224</v>
      </c>
      <c r="I782" t="s">
        <v>1225</v>
      </c>
      <c r="M782" t="s">
        <v>5321</v>
      </c>
    </row>
    <row r="783" spans="1:13" x14ac:dyDescent="0.3">
      <c r="A783" t="s">
        <v>998</v>
      </c>
      <c r="B783" t="s">
        <v>1300</v>
      </c>
      <c r="C783">
        <v>502003</v>
      </c>
      <c r="D783">
        <v>100301034</v>
      </c>
      <c r="E783" t="s">
        <v>999</v>
      </c>
      <c r="F783" t="s">
        <v>5350</v>
      </c>
      <c r="G783" t="s">
        <v>2198</v>
      </c>
      <c r="H783" t="s">
        <v>1226</v>
      </c>
      <c r="I783" t="s">
        <v>1227</v>
      </c>
      <c r="L783" t="s">
        <v>5351</v>
      </c>
      <c r="M783" t="s">
        <v>5352</v>
      </c>
    </row>
    <row r="784" spans="1:13" x14ac:dyDescent="0.3">
      <c r="A784" t="s">
        <v>1001</v>
      </c>
      <c r="B784" t="s">
        <v>1300</v>
      </c>
      <c r="C784">
        <v>502003</v>
      </c>
      <c r="D784">
        <v>100301038</v>
      </c>
      <c r="E784" t="s">
        <v>1002</v>
      </c>
      <c r="G784" t="s">
        <v>2198</v>
      </c>
      <c r="H784" t="s">
        <v>1228</v>
      </c>
      <c r="I784" t="s">
        <v>1229</v>
      </c>
      <c r="M784" t="s">
        <v>5321</v>
      </c>
    </row>
    <row r="785" spans="1:13" x14ac:dyDescent="0.3">
      <c r="A785" t="s">
        <v>1003</v>
      </c>
      <c r="B785" t="s">
        <v>1300</v>
      </c>
      <c r="C785">
        <v>502003</v>
      </c>
      <c r="D785">
        <v>101022976</v>
      </c>
      <c r="E785" t="s">
        <v>1004</v>
      </c>
      <c r="G785" t="s">
        <v>2386</v>
      </c>
      <c r="H785" t="s">
        <v>1180</v>
      </c>
      <c r="I785" t="s">
        <v>1230</v>
      </c>
      <c r="M785" t="s">
        <v>5321</v>
      </c>
    </row>
    <row r="786" spans="1:13" x14ac:dyDescent="0.3">
      <c r="A786" t="s">
        <v>1005</v>
      </c>
      <c r="B786" t="s">
        <v>1300</v>
      </c>
      <c r="C786">
        <v>502003</v>
      </c>
      <c r="D786">
        <v>100301027</v>
      </c>
      <c r="E786" t="s">
        <v>1006</v>
      </c>
      <c r="G786" t="s">
        <v>2198</v>
      </c>
      <c r="H786" t="s">
        <v>1161</v>
      </c>
      <c r="I786" t="s">
        <v>1231</v>
      </c>
      <c r="M786" t="s">
        <v>5321</v>
      </c>
    </row>
    <row r="787" spans="1:13" x14ac:dyDescent="0.3">
      <c r="A787" t="s">
        <v>1396</v>
      </c>
      <c r="B787" t="s">
        <v>1300</v>
      </c>
      <c r="C787">
        <v>502003</v>
      </c>
      <c r="D787">
        <v>120168467</v>
      </c>
      <c r="G787" t="s">
        <v>2198</v>
      </c>
      <c r="H787" t="s">
        <v>2382</v>
      </c>
      <c r="I787" t="s">
        <v>1231</v>
      </c>
    </row>
    <row r="788" spans="1:13" x14ac:dyDescent="0.3">
      <c r="A788" t="s">
        <v>1007</v>
      </c>
      <c r="B788" t="s">
        <v>1300</v>
      </c>
      <c r="C788">
        <v>502003</v>
      </c>
      <c r="D788">
        <v>101022612</v>
      </c>
      <c r="E788" t="s">
        <v>1008</v>
      </c>
      <c r="G788" t="s">
        <v>2386</v>
      </c>
      <c r="H788" t="s">
        <v>1232</v>
      </c>
      <c r="I788" t="s">
        <v>1233</v>
      </c>
      <c r="M788" t="s">
        <v>5321</v>
      </c>
    </row>
    <row r="789" spans="1:13" x14ac:dyDescent="0.3">
      <c r="A789" t="s">
        <v>1009</v>
      </c>
      <c r="B789" t="s">
        <v>1300</v>
      </c>
      <c r="C789">
        <v>502003</v>
      </c>
      <c r="D789">
        <v>101022618</v>
      </c>
      <c r="E789" t="s">
        <v>1010</v>
      </c>
      <c r="G789" t="s">
        <v>2386</v>
      </c>
      <c r="H789" t="s">
        <v>1234</v>
      </c>
      <c r="I789" t="s">
        <v>1235</v>
      </c>
      <c r="M789" t="s">
        <v>5321</v>
      </c>
    </row>
    <row r="790" spans="1:13" x14ac:dyDescent="0.3">
      <c r="A790" t="s">
        <v>1011</v>
      </c>
      <c r="B790" t="s">
        <v>1300</v>
      </c>
      <c r="C790">
        <v>502003</v>
      </c>
      <c r="D790">
        <v>101097879</v>
      </c>
      <c r="E790" t="s">
        <v>1012</v>
      </c>
      <c r="G790" t="s">
        <v>2198</v>
      </c>
      <c r="H790" t="s">
        <v>1236</v>
      </c>
      <c r="I790" t="s">
        <v>1237</v>
      </c>
      <c r="M790" t="s">
        <v>5321</v>
      </c>
    </row>
    <row r="791" spans="1:13" x14ac:dyDescent="0.3">
      <c r="A791" t="s">
        <v>1013</v>
      </c>
      <c r="B791" t="s">
        <v>1300</v>
      </c>
      <c r="C791">
        <v>502003</v>
      </c>
      <c r="D791">
        <v>100301059</v>
      </c>
      <c r="E791" t="s">
        <v>1014</v>
      </c>
      <c r="F791" t="s">
        <v>5353</v>
      </c>
      <c r="G791" t="s">
        <v>2198</v>
      </c>
      <c r="H791" t="s">
        <v>1238</v>
      </c>
      <c r="I791" t="s">
        <v>1239</v>
      </c>
      <c r="M791" t="s">
        <v>5321</v>
      </c>
    </row>
    <row r="792" spans="1:13" x14ac:dyDescent="0.3">
      <c r="A792" t="s">
        <v>1016</v>
      </c>
      <c r="B792" t="s">
        <v>1300</v>
      </c>
      <c r="C792">
        <v>502003</v>
      </c>
      <c r="D792">
        <v>100301055</v>
      </c>
      <c r="E792" t="s">
        <v>1017</v>
      </c>
      <c r="G792" t="s">
        <v>2198</v>
      </c>
      <c r="H792" t="s">
        <v>1108</v>
      </c>
      <c r="I792" t="s">
        <v>1240</v>
      </c>
      <c r="M792" t="s">
        <v>5321</v>
      </c>
    </row>
    <row r="793" spans="1:13" x14ac:dyDescent="0.3">
      <c r="A793" t="s">
        <v>1018</v>
      </c>
      <c r="B793" t="s">
        <v>1300</v>
      </c>
      <c r="C793">
        <v>502003</v>
      </c>
      <c r="D793">
        <v>100301053</v>
      </c>
      <c r="E793" t="s">
        <v>1019</v>
      </c>
      <c r="G793" t="s">
        <v>2198</v>
      </c>
      <c r="H793" t="s">
        <v>1241</v>
      </c>
      <c r="I793" t="s">
        <v>1242</v>
      </c>
      <c r="M793" t="s">
        <v>5321</v>
      </c>
    </row>
    <row r="794" spans="1:13" x14ac:dyDescent="0.3">
      <c r="A794" t="s">
        <v>1020</v>
      </c>
      <c r="B794" t="s">
        <v>1300</v>
      </c>
      <c r="C794">
        <v>502003</v>
      </c>
      <c r="D794">
        <v>100301054</v>
      </c>
      <c r="E794" t="s">
        <v>1021</v>
      </c>
      <c r="G794" t="s">
        <v>2198</v>
      </c>
      <c r="H794" t="s">
        <v>1091</v>
      </c>
      <c r="I794" t="s">
        <v>1243</v>
      </c>
      <c r="M794" t="s">
        <v>5321</v>
      </c>
    </row>
    <row r="795" spans="1:13" x14ac:dyDescent="0.3">
      <c r="A795" t="s">
        <v>1022</v>
      </c>
      <c r="B795" t="s">
        <v>1300</v>
      </c>
      <c r="C795">
        <v>502003</v>
      </c>
      <c r="D795">
        <v>100301060</v>
      </c>
      <c r="E795" t="s">
        <v>1023</v>
      </c>
      <c r="F795" t="s">
        <v>5354</v>
      </c>
      <c r="G795" t="s">
        <v>2198</v>
      </c>
      <c r="H795" t="s">
        <v>1097</v>
      </c>
      <c r="I795" t="s">
        <v>1243</v>
      </c>
      <c r="J795" t="s">
        <v>4151</v>
      </c>
      <c r="K795" t="s">
        <v>5355</v>
      </c>
      <c r="M795" t="s">
        <v>5321</v>
      </c>
    </row>
    <row r="796" spans="1:13" x14ac:dyDescent="0.3">
      <c r="A796" t="s">
        <v>5356</v>
      </c>
      <c r="B796" t="s">
        <v>1300</v>
      </c>
      <c r="C796">
        <v>502003</v>
      </c>
      <c r="D796">
        <v>120044872</v>
      </c>
      <c r="E796" t="s">
        <v>5357</v>
      </c>
      <c r="F796" t="s">
        <v>5358</v>
      </c>
      <c r="G796" t="s">
        <v>2198</v>
      </c>
      <c r="H796" t="s">
        <v>4587</v>
      </c>
      <c r="I796" t="s">
        <v>5359</v>
      </c>
      <c r="J796" t="s">
        <v>4151</v>
      </c>
      <c r="K796" t="s">
        <v>5360</v>
      </c>
      <c r="L796" t="s">
        <v>5361</v>
      </c>
    </row>
    <row r="797" spans="1:13" x14ac:dyDescent="0.3">
      <c r="A797" t="s">
        <v>1025</v>
      </c>
      <c r="B797" t="s">
        <v>1300</v>
      </c>
      <c r="C797">
        <v>502003</v>
      </c>
      <c r="D797">
        <v>100301058</v>
      </c>
      <c r="E797" t="s">
        <v>1026</v>
      </c>
      <c r="F797" t="s">
        <v>5362</v>
      </c>
      <c r="G797" t="s">
        <v>2198</v>
      </c>
      <c r="H797" t="s">
        <v>1244</v>
      </c>
      <c r="I797" t="s">
        <v>1245</v>
      </c>
      <c r="M797" t="s">
        <v>5321</v>
      </c>
    </row>
    <row r="798" spans="1:13" x14ac:dyDescent="0.3">
      <c r="A798" t="s">
        <v>1028</v>
      </c>
      <c r="B798" t="s">
        <v>1300</v>
      </c>
      <c r="C798">
        <v>502003</v>
      </c>
      <c r="D798">
        <v>100301032</v>
      </c>
      <c r="E798" t="s">
        <v>1029</v>
      </c>
      <c r="F798" t="s">
        <v>5363</v>
      </c>
      <c r="G798" t="s">
        <v>2198</v>
      </c>
      <c r="H798" t="s">
        <v>1129</v>
      </c>
      <c r="I798" t="s">
        <v>1246</v>
      </c>
      <c r="J798" t="s">
        <v>2200</v>
      </c>
      <c r="K798" t="s">
        <v>5364</v>
      </c>
      <c r="M798" t="s">
        <v>5365</v>
      </c>
    </row>
    <row r="799" spans="1:13" x14ac:dyDescent="0.3">
      <c r="A799" t="s">
        <v>1031</v>
      </c>
      <c r="B799" t="s">
        <v>1300</v>
      </c>
      <c r="C799">
        <v>502003</v>
      </c>
      <c r="D799">
        <v>100301051</v>
      </c>
      <c r="E799" t="s">
        <v>1032</v>
      </c>
      <c r="G799" t="s">
        <v>2198</v>
      </c>
      <c r="H799" t="s">
        <v>1247</v>
      </c>
      <c r="I799" t="s">
        <v>1091</v>
      </c>
      <c r="M799" t="s">
        <v>5321</v>
      </c>
    </row>
    <row r="800" spans="1:13" x14ac:dyDescent="0.3">
      <c r="A800" t="s">
        <v>1033</v>
      </c>
      <c r="B800" t="s">
        <v>1300</v>
      </c>
      <c r="C800">
        <v>502003</v>
      </c>
      <c r="D800">
        <v>101022907</v>
      </c>
      <c r="E800" t="s">
        <v>1034</v>
      </c>
      <c r="G800" t="s">
        <v>2198</v>
      </c>
      <c r="H800" t="s">
        <v>1248</v>
      </c>
      <c r="I800" t="s">
        <v>1249</v>
      </c>
      <c r="M800" t="s">
        <v>5321</v>
      </c>
    </row>
    <row r="801" spans="1:13" x14ac:dyDescent="0.3">
      <c r="A801" t="s">
        <v>1037</v>
      </c>
      <c r="B801" t="s">
        <v>1300</v>
      </c>
      <c r="C801">
        <v>502003</v>
      </c>
      <c r="D801">
        <v>100301041</v>
      </c>
      <c r="E801" t="s">
        <v>1038</v>
      </c>
      <c r="G801" t="s">
        <v>2198</v>
      </c>
      <c r="H801" t="s">
        <v>1252</v>
      </c>
      <c r="I801" t="s">
        <v>1251</v>
      </c>
      <c r="M801" t="s">
        <v>5366</v>
      </c>
    </row>
    <row r="802" spans="1:13" x14ac:dyDescent="0.3">
      <c r="A802" t="s">
        <v>1035</v>
      </c>
      <c r="B802" t="s">
        <v>1300</v>
      </c>
      <c r="C802">
        <v>502003</v>
      </c>
      <c r="D802">
        <v>101043764</v>
      </c>
      <c r="E802" t="s">
        <v>1036</v>
      </c>
      <c r="G802" t="s">
        <v>2198</v>
      </c>
      <c r="H802" t="s">
        <v>1250</v>
      </c>
      <c r="I802" t="s">
        <v>1251</v>
      </c>
      <c r="M802" t="s">
        <v>5321</v>
      </c>
    </row>
    <row r="803" spans="1:13" x14ac:dyDescent="0.3">
      <c r="A803" t="s">
        <v>1039</v>
      </c>
      <c r="B803" t="s">
        <v>1300</v>
      </c>
      <c r="C803">
        <v>502003</v>
      </c>
      <c r="D803">
        <v>101022644</v>
      </c>
      <c r="E803" t="s">
        <v>1040</v>
      </c>
      <c r="G803" t="s">
        <v>2386</v>
      </c>
      <c r="H803" t="s">
        <v>1111</v>
      </c>
      <c r="I803" t="s">
        <v>1253</v>
      </c>
      <c r="M803" t="s">
        <v>5321</v>
      </c>
    </row>
    <row r="804" spans="1:13" x14ac:dyDescent="0.3">
      <c r="A804" t="s">
        <v>1041</v>
      </c>
      <c r="B804" t="s">
        <v>1300</v>
      </c>
      <c r="C804">
        <v>502003</v>
      </c>
      <c r="D804">
        <v>101022611</v>
      </c>
      <c r="E804" t="s">
        <v>1042</v>
      </c>
      <c r="G804" t="s">
        <v>2386</v>
      </c>
      <c r="H804" t="s">
        <v>1254</v>
      </c>
      <c r="I804" t="s">
        <v>1255</v>
      </c>
      <c r="M804" t="s">
        <v>5321</v>
      </c>
    </row>
    <row r="805" spans="1:13" x14ac:dyDescent="0.3">
      <c r="A805" t="s">
        <v>1043</v>
      </c>
      <c r="B805" t="s">
        <v>1300</v>
      </c>
      <c r="C805">
        <v>502003</v>
      </c>
      <c r="D805">
        <v>101014300</v>
      </c>
      <c r="E805" t="s">
        <v>1044</v>
      </c>
      <c r="G805" t="s">
        <v>2198</v>
      </c>
      <c r="H805" t="s">
        <v>1256</v>
      </c>
      <c r="I805" t="s">
        <v>1257</v>
      </c>
      <c r="M805" t="s">
        <v>5321</v>
      </c>
    </row>
    <row r="806" spans="1:13" x14ac:dyDescent="0.3">
      <c r="A806" t="s">
        <v>1045</v>
      </c>
      <c r="B806" t="s">
        <v>1300</v>
      </c>
      <c r="C806">
        <v>502003</v>
      </c>
      <c r="D806">
        <v>100301042</v>
      </c>
      <c r="E806" t="s">
        <v>1046</v>
      </c>
      <c r="G806" t="s">
        <v>2198</v>
      </c>
      <c r="H806" t="s">
        <v>1258</v>
      </c>
      <c r="I806" t="s">
        <v>1259</v>
      </c>
      <c r="M806" t="s">
        <v>5367</v>
      </c>
    </row>
    <row r="807" spans="1:13" x14ac:dyDescent="0.3">
      <c r="A807" t="s">
        <v>1047</v>
      </c>
      <c r="B807" t="s">
        <v>1300</v>
      </c>
      <c r="C807">
        <v>502003</v>
      </c>
      <c r="D807">
        <v>100301047</v>
      </c>
      <c r="E807" t="s">
        <v>1048</v>
      </c>
      <c r="F807" t="s">
        <v>5368</v>
      </c>
      <c r="G807" t="s">
        <v>2198</v>
      </c>
      <c r="H807" t="s">
        <v>1175</v>
      </c>
      <c r="I807" t="s">
        <v>1260</v>
      </c>
      <c r="J807" t="s">
        <v>2200</v>
      </c>
      <c r="K807" t="s">
        <v>4295</v>
      </c>
      <c r="L807" t="s">
        <v>5369</v>
      </c>
      <c r="M807" t="s">
        <v>5370</v>
      </c>
    </row>
    <row r="808" spans="1:13" x14ac:dyDescent="0.3">
      <c r="A808" t="s">
        <v>1050</v>
      </c>
      <c r="B808" t="s">
        <v>1300</v>
      </c>
      <c r="C808">
        <v>502003</v>
      </c>
      <c r="D808">
        <v>100301056</v>
      </c>
      <c r="E808" t="s">
        <v>1051</v>
      </c>
      <c r="G808" t="s">
        <v>2198</v>
      </c>
      <c r="H808" t="s">
        <v>1261</v>
      </c>
      <c r="I808" t="s">
        <v>1262</v>
      </c>
      <c r="M808" t="s">
        <v>5321</v>
      </c>
    </row>
    <row r="809" spans="1:13" x14ac:dyDescent="0.3">
      <c r="A809" t="s">
        <v>5371</v>
      </c>
      <c r="B809" t="s">
        <v>1300</v>
      </c>
      <c r="C809">
        <v>502003</v>
      </c>
      <c r="D809">
        <v>120082932</v>
      </c>
      <c r="E809" t="s">
        <v>5372</v>
      </c>
      <c r="G809" t="s">
        <v>2198</v>
      </c>
      <c r="H809" t="s">
        <v>4314</v>
      </c>
      <c r="I809" t="s">
        <v>5373</v>
      </c>
      <c r="J809" t="s">
        <v>2845</v>
      </c>
    </row>
    <row r="810" spans="1:13" x14ac:dyDescent="0.3">
      <c r="A810" t="s">
        <v>1052</v>
      </c>
      <c r="B810" t="s">
        <v>1300</v>
      </c>
      <c r="C810">
        <v>502003</v>
      </c>
      <c r="D810">
        <v>100301028</v>
      </c>
      <c r="E810" t="s">
        <v>1053</v>
      </c>
      <c r="G810" t="s">
        <v>2386</v>
      </c>
      <c r="H810" t="s">
        <v>1263</v>
      </c>
      <c r="I810" t="s">
        <v>1264</v>
      </c>
      <c r="M810" t="s">
        <v>5321</v>
      </c>
    </row>
    <row r="811" spans="1:13" x14ac:dyDescent="0.3">
      <c r="A811" t="s">
        <v>5374</v>
      </c>
      <c r="B811" t="s">
        <v>1300</v>
      </c>
      <c r="C811">
        <v>502003</v>
      </c>
      <c r="D811">
        <v>120047890</v>
      </c>
      <c r="E811" t="s">
        <v>5375</v>
      </c>
      <c r="G811" t="s">
        <v>2386</v>
      </c>
      <c r="H811" t="s">
        <v>5376</v>
      </c>
      <c r="I811" t="s">
        <v>4923</v>
      </c>
    </row>
    <row r="812" spans="1:13" x14ac:dyDescent="0.3">
      <c r="A812" t="s">
        <v>1054</v>
      </c>
      <c r="B812" t="s">
        <v>1300</v>
      </c>
      <c r="C812">
        <v>502003</v>
      </c>
      <c r="D812">
        <v>100301037</v>
      </c>
      <c r="E812" t="s">
        <v>1055</v>
      </c>
      <c r="F812" t="s">
        <v>5377</v>
      </c>
      <c r="G812" t="s">
        <v>2198</v>
      </c>
      <c r="H812" t="s">
        <v>1238</v>
      </c>
      <c r="I812" t="s">
        <v>1265</v>
      </c>
      <c r="M812" t="s">
        <v>5321</v>
      </c>
    </row>
    <row r="813" spans="1:13" x14ac:dyDescent="0.3">
      <c r="A813" t="s">
        <v>5378</v>
      </c>
      <c r="B813" t="s">
        <v>5379</v>
      </c>
      <c r="C813">
        <v>524787</v>
      </c>
      <c r="D813">
        <v>100312344</v>
      </c>
      <c r="E813" t="s">
        <v>5380</v>
      </c>
      <c r="G813" t="s">
        <v>2198</v>
      </c>
      <c r="H813" t="s">
        <v>5381</v>
      </c>
      <c r="I813" t="s">
        <v>5382</v>
      </c>
      <c r="L813" t="s">
        <v>2343</v>
      </c>
      <c r="M813" t="s">
        <v>5383</v>
      </c>
    </row>
    <row r="814" spans="1:13" x14ac:dyDescent="0.3">
      <c r="A814" t="s">
        <v>5384</v>
      </c>
      <c r="B814" t="s">
        <v>5379</v>
      </c>
      <c r="C814">
        <v>524787</v>
      </c>
      <c r="D814">
        <v>100312345</v>
      </c>
      <c r="E814" t="s">
        <v>5385</v>
      </c>
      <c r="G814" t="s">
        <v>2198</v>
      </c>
      <c r="H814" t="s">
        <v>2577</v>
      </c>
      <c r="I814" t="s">
        <v>5386</v>
      </c>
      <c r="K814" t="s">
        <v>2431</v>
      </c>
      <c r="L814" t="s">
        <v>2343</v>
      </c>
      <c r="M814" t="s">
        <v>5383</v>
      </c>
    </row>
    <row r="815" spans="1:13" x14ac:dyDescent="0.3">
      <c r="A815" t="s">
        <v>1997</v>
      </c>
      <c r="B815" t="s">
        <v>5379</v>
      </c>
      <c r="C815">
        <v>524787</v>
      </c>
      <c r="D815">
        <v>120171893</v>
      </c>
      <c r="E815" t="s">
        <v>5387</v>
      </c>
      <c r="F815" t="s">
        <v>5388</v>
      </c>
      <c r="G815" t="s">
        <v>2198</v>
      </c>
      <c r="H815" t="s">
        <v>1113</v>
      </c>
      <c r="I815" t="s">
        <v>5389</v>
      </c>
      <c r="J815" t="s">
        <v>2200</v>
      </c>
    </row>
    <row r="816" spans="1:13" x14ac:dyDescent="0.3">
      <c r="A816" t="s">
        <v>5390</v>
      </c>
      <c r="B816" t="s">
        <v>5379</v>
      </c>
      <c r="C816">
        <v>524787</v>
      </c>
      <c r="D816">
        <v>100312347</v>
      </c>
      <c r="E816" t="s">
        <v>5391</v>
      </c>
      <c r="G816" t="s">
        <v>2198</v>
      </c>
      <c r="H816" t="s">
        <v>1370</v>
      </c>
      <c r="I816" t="s">
        <v>5392</v>
      </c>
      <c r="J816" t="s">
        <v>2200</v>
      </c>
      <c r="L816" t="s">
        <v>5393</v>
      </c>
      <c r="M816" t="s">
        <v>5394</v>
      </c>
    </row>
    <row r="817" spans="1:13" x14ac:dyDescent="0.3">
      <c r="A817" t="s">
        <v>5395</v>
      </c>
      <c r="B817" t="s">
        <v>5379</v>
      </c>
      <c r="C817">
        <v>524787</v>
      </c>
      <c r="D817">
        <v>100312343</v>
      </c>
      <c r="E817" t="s">
        <v>5396</v>
      </c>
      <c r="G817" t="s">
        <v>2198</v>
      </c>
      <c r="H817" t="s">
        <v>2572</v>
      </c>
      <c r="I817" t="s">
        <v>2616</v>
      </c>
      <c r="L817" t="s">
        <v>4805</v>
      </c>
      <c r="M817" t="s">
        <v>5383</v>
      </c>
    </row>
    <row r="818" spans="1:13" x14ac:dyDescent="0.3">
      <c r="A818" t="s">
        <v>5397</v>
      </c>
      <c r="B818" t="s">
        <v>5379</v>
      </c>
      <c r="C818">
        <v>524787</v>
      </c>
      <c r="D818">
        <v>100312348</v>
      </c>
      <c r="E818" t="s">
        <v>5398</v>
      </c>
      <c r="G818" t="s">
        <v>2198</v>
      </c>
      <c r="H818" t="s">
        <v>2577</v>
      </c>
      <c r="I818" t="s">
        <v>5399</v>
      </c>
      <c r="K818" t="s">
        <v>2431</v>
      </c>
      <c r="M818" t="s">
        <v>5400</v>
      </c>
    </row>
    <row r="819" spans="1:13" x14ac:dyDescent="0.3">
      <c r="A819" t="s">
        <v>892</v>
      </c>
      <c r="B819" t="s">
        <v>5401</v>
      </c>
      <c r="C819">
        <v>7426293</v>
      </c>
      <c r="D819">
        <v>100938816</v>
      </c>
      <c r="E819" t="s">
        <v>894</v>
      </c>
      <c r="G819" t="s">
        <v>2198</v>
      </c>
      <c r="H819" t="s">
        <v>1143</v>
      </c>
      <c r="I819" t="s">
        <v>1144</v>
      </c>
      <c r="J819" t="s">
        <v>2200</v>
      </c>
      <c r="M819" t="s">
        <v>5402</v>
      </c>
    </row>
    <row r="820" spans="1:13" x14ac:dyDescent="0.3">
      <c r="A820" t="s">
        <v>896</v>
      </c>
      <c r="B820" t="s">
        <v>5401</v>
      </c>
      <c r="C820">
        <v>7426293</v>
      </c>
      <c r="D820">
        <v>100938811</v>
      </c>
      <c r="E820" t="s">
        <v>897</v>
      </c>
      <c r="G820" t="s">
        <v>2198</v>
      </c>
      <c r="H820" t="s">
        <v>1084</v>
      </c>
      <c r="I820" t="s">
        <v>1145</v>
      </c>
      <c r="J820" t="s">
        <v>2200</v>
      </c>
      <c r="M820" t="s">
        <v>5402</v>
      </c>
    </row>
    <row r="821" spans="1:13" x14ac:dyDescent="0.3">
      <c r="A821" t="s">
        <v>1064</v>
      </c>
      <c r="B821" t="s">
        <v>5401</v>
      </c>
      <c r="C821">
        <v>7426293</v>
      </c>
      <c r="D821">
        <v>101099584</v>
      </c>
      <c r="E821" t="s">
        <v>1065</v>
      </c>
      <c r="G821" t="s">
        <v>2198</v>
      </c>
      <c r="H821" t="s">
        <v>1270</v>
      </c>
      <c r="I821" t="s">
        <v>1271</v>
      </c>
      <c r="K821" t="s">
        <v>4479</v>
      </c>
      <c r="M821" t="s">
        <v>5402</v>
      </c>
    </row>
    <row r="822" spans="1:13" x14ac:dyDescent="0.3">
      <c r="A822" t="s">
        <v>927</v>
      </c>
      <c r="B822" t="s">
        <v>5401</v>
      </c>
      <c r="C822">
        <v>7426293</v>
      </c>
      <c r="D822">
        <v>101092928</v>
      </c>
      <c r="G822" t="s">
        <v>2198</v>
      </c>
      <c r="H822" t="s">
        <v>1173</v>
      </c>
      <c r="I822" t="s">
        <v>1174</v>
      </c>
      <c r="K822" t="s">
        <v>4018</v>
      </c>
      <c r="M822" t="s">
        <v>5402</v>
      </c>
    </row>
    <row r="823" spans="1:13" x14ac:dyDescent="0.3">
      <c r="A823" t="s">
        <v>927</v>
      </c>
      <c r="B823" t="s">
        <v>5401</v>
      </c>
      <c r="C823">
        <v>7426293</v>
      </c>
      <c r="D823">
        <v>101092895</v>
      </c>
      <c r="G823" t="s">
        <v>2198</v>
      </c>
      <c r="H823" t="s">
        <v>1173</v>
      </c>
      <c r="I823" t="s">
        <v>1174</v>
      </c>
      <c r="K823" t="s">
        <v>4018</v>
      </c>
      <c r="M823" t="s">
        <v>5402</v>
      </c>
    </row>
    <row r="824" spans="1:13" x14ac:dyDescent="0.3">
      <c r="A824" t="s">
        <v>898</v>
      </c>
      <c r="B824" t="s">
        <v>5401</v>
      </c>
      <c r="C824">
        <v>7426293</v>
      </c>
      <c r="D824">
        <v>100938813</v>
      </c>
      <c r="E824" t="s">
        <v>899</v>
      </c>
      <c r="F824" t="s">
        <v>5403</v>
      </c>
      <c r="G824" t="s">
        <v>2198</v>
      </c>
      <c r="H824" t="s">
        <v>1146</v>
      </c>
      <c r="I824" t="s">
        <v>1147</v>
      </c>
      <c r="J824" t="s">
        <v>4573</v>
      </c>
      <c r="M824" t="s">
        <v>5402</v>
      </c>
    </row>
    <row r="825" spans="1:13" x14ac:dyDescent="0.3">
      <c r="A825" t="s">
        <v>901</v>
      </c>
      <c r="B825" t="s">
        <v>5401</v>
      </c>
      <c r="C825">
        <v>7426293</v>
      </c>
      <c r="D825">
        <v>100938818</v>
      </c>
      <c r="G825" t="s">
        <v>2198</v>
      </c>
      <c r="H825" t="s">
        <v>1148</v>
      </c>
      <c r="I825" t="s">
        <v>1149</v>
      </c>
      <c r="M825" t="s">
        <v>5402</v>
      </c>
    </row>
    <row r="826" spans="1:13" x14ac:dyDescent="0.3">
      <c r="A826" t="s">
        <v>902</v>
      </c>
      <c r="B826" t="s">
        <v>5401</v>
      </c>
      <c r="C826">
        <v>7426293</v>
      </c>
      <c r="D826">
        <v>100938817</v>
      </c>
      <c r="G826" t="s">
        <v>2198</v>
      </c>
      <c r="H826" t="s">
        <v>1150</v>
      </c>
      <c r="I826" t="s">
        <v>1151</v>
      </c>
      <c r="M826" t="s">
        <v>5402</v>
      </c>
    </row>
    <row r="827" spans="1:13" x14ac:dyDescent="0.3">
      <c r="A827" t="s">
        <v>929</v>
      </c>
      <c r="B827" t="s">
        <v>5401</v>
      </c>
      <c r="C827">
        <v>7426293</v>
      </c>
      <c r="D827">
        <v>101092920</v>
      </c>
      <c r="G827" t="s">
        <v>2198</v>
      </c>
      <c r="H827" t="s">
        <v>1175</v>
      </c>
      <c r="I827" t="s">
        <v>1176</v>
      </c>
      <c r="K827" t="s">
        <v>4141</v>
      </c>
      <c r="M827" t="s">
        <v>5402</v>
      </c>
    </row>
    <row r="828" spans="1:13" x14ac:dyDescent="0.3">
      <c r="A828" t="s">
        <v>929</v>
      </c>
      <c r="B828" t="s">
        <v>5401</v>
      </c>
      <c r="C828">
        <v>7426293</v>
      </c>
      <c r="D828">
        <v>101092917</v>
      </c>
      <c r="G828" t="s">
        <v>2198</v>
      </c>
      <c r="H828" t="s">
        <v>1175</v>
      </c>
      <c r="I828" t="s">
        <v>1176</v>
      </c>
      <c r="K828" t="s">
        <v>4141</v>
      </c>
      <c r="M828" t="s">
        <v>5402</v>
      </c>
    </row>
    <row r="829" spans="1:13" x14ac:dyDescent="0.3">
      <c r="A829" t="s">
        <v>930</v>
      </c>
      <c r="B829" t="s">
        <v>5401</v>
      </c>
      <c r="C829">
        <v>7426293</v>
      </c>
      <c r="D829">
        <v>101092896</v>
      </c>
      <c r="G829" t="s">
        <v>2198</v>
      </c>
      <c r="H829" t="s">
        <v>1162</v>
      </c>
      <c r="I829" t="s">
        <v>1177</v>
      </c>
      <c r="K829" t="s">
        <v>4018</v>
      </c>
      <c r="M829" t="s">
        <v>5402</v>
      </c>
    </row>
    <row r="830" spans="1:13" x14ac:dyDescent="0.3">
      <c r="A830" t="s">
        <v>930</v>
      </c>
      <c r="B830" t="s">
        <v>5401</v>
      </c>
      <c r="C830">
        <v>7426293</v>
      </c>
      <c r="D830">
        <v>101092918</v>
      </c>
      <c r="G830" t="s">
        <v>2198</v>
      </c>
      <c r="H830" t="s">
        <v>1162</v>
      </c>
      <c r="I830" t="s">
        <v>1177</v>
      </c>
      <c r="K830" t="s">
        <v>4018</v>
      </c>
      <c r="M830" t="s">
        <v>5402</v>
      </c>
    </row>
    <row r="831" spans="1:13" x14ac:dyDescent="0.3">
      <c r="A831" t="s">
        <v>903</v>
      </c>
      <c r="B831" t="s">
        <v>5401</v>
      </c>
      <c r="C831">
        <v>7426293</v>
      </c>
      <c r="D831">
        <v>100938815</v>
      </c>
      <c r="E831" t="s">
        <v>904</v>
      </c>
      <c r="G831" t="s">
        <v>2198</v>
      </c>
      <c r="H831" t="s">
        <v>1113</v>
      </c>
      <c r="I831" t="s">
        <v>1152</v>
      </c>
      <c r="J831" t="s">
        <v>4573</v>
      </c>
      <c r="M831" t="s">
        <v>5404</v>
      </c>
    </row>
    <row r="832" spans="1:13" x14ac:dyDescent="0.3">
      <c r="A832" t="s">
        <v>931</v>
      </c>
      <c r="B832" t="s">
        <v>5401</v>
      </c>
      <c r="C832">
        <v>7426293</v>
      </c>
      <c r="D832">
        <v>101092929</v>
      </c>
      <c r="G832" t="s">
        <v>2198</v>
      </c>
      <c r="H832" t="s">
        <v>1178</v>
      </c>
      <c r="I832" t="s">
        <v>1179</v>
      </c>
      <c r="K832" t="s">
        <v>4018</v>
      </c>
      <c r="M832" t="s">
        <v>5402</v>
      </c>
    </row>
    <row r="833" spans="1:13" x14ac:dyDescent="0.3">
      <c r="A833" t="s">
        <v>931</v>
      </c>
      <c r="B833" t="s">
        <v>5401</v>
      </c>
      <c r="C833">
        <v>7426293</v>
      </c>
      <c r="D833">
        <v>101092907</v>
      </c>
      <c r="G833" t="s">
        <v>2198</v>
      </c>
      <c r="H833" t="s">
        <v>1178</v>
      </c>
      <c r="I833" t="s">
        <v>1179</v>
      </c>
      <c r="K833" t="s">
        <v>4018</v>
      </c>
      <c r="M833" t="s">
        <v>5402</v>
      </c>
    </row>
    <row r="834" spans="1:13" x14ac:dyDescent="0.3">
      <c r="A834" t="s">
        <v>905</v>
      </c>
      <c r="B834" t="s">
        <v>5401</v>
      </c>
      <c r="C834">
        <v>7426293</v>
      </c>
      <c r="D834">
        <v>100938810</v>
      </c>
      <c r="E834" t="s">
        <v>906</v>
      </c>
      <c r="F834" t="s">
        <v>5405</v>
      </c>
      <c r="G834" t="s">
        <v>2386</v>
      </c>
      <c r="H834" t="s">
        <v>1153</v>
      </c>
      <c r="I834" t="s">
        <v>1154</v>
      </c>
      <c r="J834" t="s">
        <v>2343</v>
      </c>
      <c r="M834" t="s">
        <v>5402</v>
      </c>
    </row>
    <row r="835" spans="1:13" x14ac:dyDescent="0.3">
      <c r="A835" t="s">
        <v>908</v>
      </c>
      <c r="B835" t="s">
        <v>5401</v>
      </c>
      <c r="C835">
        <v>7426293</v>
      </c>
      <c r="D835">
        <v>100938814</v>
      </c>
      <c r="E835" t="s">
        <v>909</v>
      </c>
      <c r="F835" t="s">
        <v>5403</v>
      </c>
      <c r="G835" t="s">
        <v>2198</v>
      </c>
      <c r="H835" t="s">
        <v>1155</v>
      </c>
      <c r="I835" t="s">
        <v>1156</v>
      </c>
      <c r="J835" t="s">
        <v>2898</v>
      </c>
      <c r="M835" t="s">
        <v>5406</v>
      </c>
    </row>
    <row r="836" spans="1:13" x14ac:dyDescent="0.3">
      <c r="A836" t="s">
        <v>910</v>
      </c>
      <c r="B836" t="s">
        <v>5401</v>
      </c>
      <c r="C836">
        <v>7426293</v>
      </c>
      <c r="D836">
        <v>100938812</v>
      </c>
      <c r="E836" t="s">
        <v>911</v>
      </c>
      <c r="F836" t="s">
        <v>5407</v>
      </c>
      <c r="G836" t="s">
        <v>2198</v>
      </c>
      <c r="H836" t="s">
        <v>1157</v>
      </c>
      <c r="I836" t="s">
        <v>1158</v>
      </c>
      <c r="J836" t="s">
        <v>2200</v>
      </c>
      <c r="K836" t="s">
        <v>5408</v>
      </c>
      <c r="M836" t="s">
        <v>5402</v>
      </c>
    </row>
    <row r="837" spans="1:13" x14ac:dyDescent="0.3">
      <c r="A837" t="s">
        <v>861</v>
      </c>
      <c r="B837" t="s">
        <v>5409</v>
      </c>
      <c r="C837">
        <v>7504883</v>
      </c>
      <c r="D837">
        <v>101081033</v>
      </c>
      <c r="E837" t="s">
        <v>863</v>
      </c>
      <c r="G837" t="s">
        <v>2198</v>
      </c>
      <c r="H837" t="s">
        <v>1125</v>
      </c>
      <c r="I837" t="s">
        <v>5410</v>
      </c>
      <c r="M837" t="s">
        <v>5411</v>
      </c>
    </row>
    <row r="838" spans="1:13" x14ac:dyDescent="0.3">
      <c r="A838" t="s">
        <v>865</v>
      </c>
      <c r="B838" t="s">
        <v>5409</v>
      </c>
      <c r="C838">
        <v>7504883</v>
      </c>
      <c r="D838">
        <v>101081034</v>
      </c>
      <c r="E838" t="s">
        <v>866</v>
      </c>
      <c r="G838" t="s">
        <v>2198</v>
      </c>
      <c r="H838" t="s">
        <v>1127</v>
      </c>
      <c r="I838" t="s">
        <v>1137</v>
      </c>
      <c r="M838" t="s">
        <v>5411</v>
      </c>
    </row>
    <row r="839" spans="1:13" x14ac:dyDescent="0.3">
      <c r="A839" t="s">
        <v>101</v>
      </c>
      <c r="B839" t="s">
        <v>5409</v>
      </c>
      <c r="C839">
        <v>7504883</v>
      </c>
      <c r="D839">
        <v>101081022</v>
      </c>
      <c r="E839" t="s">
        <v>867</v>
      </c>
      <c r="G839" t="s">
        <v>2198</v>
      </c>
      <c r="H839" t="s">
        <v>1129</v>
      </c>
      <c r="I839" t="s">
        <v>1139</v>
      </c>
      <c r="M839" t="s">
        <v>5411</v>
      </c>
    </row>
    <row r="840" spans="1:13" x14ac:dyDescent="0.3">
      <c r="A840" t="s">
        <v>125</v>
      </c>
      <c r="B840" t="s">
        <v>4600</v>
      </c>
      <c r="C840">
        <v>120211955</v>
      </c>
      <c r="D840">
        <v>120211956</v>
      </c>
      <c r="E840" t="s">
        <v>4601</v>
      </c>
      <c r="G840" t="s">
        <v>2198</v>
      </c>
      <c r="H840" t="s">
        <v>1133</v>
      </c>
      <c r="I840" t="s">
        <v>4602</v>
      </c>
      <c r="J840" t="s">
        <v>2898</v>
      </c>
      <c r="L840" t="s">
        <v>4603</v>
      </c>
    </row>
    <row r="841" spans="1:13" x14ac:dyDescent="0.3">
      <c r="A841" t="s">
        <v>106</v>
      </c>
      <c r="B841" t="s">
        <v>5412</v>
      </c>
      <c r="C841">
        <v>7494137</v>
      </c>
      <c r="D841">
        <v>101041290</v>
      </c>
      <c r="E841" t="s">
        <v>5413</v>
      </c>
      <c r="G841" t="s">
        <v>2198</v>
      </c>
      <c r="H841" t="s">
        <v>2608</v>
      </c>
      <c r="I841" t="s">
        <v>1251</v>
      </c>
      <c r="J841" t="s">
        <v>2898</v>
      </c>
      <c r="M841" t="s">
        <v>5414</v>
      </c>
    </row>
    <row r="842" spans="1:13" x14ac:dyDescent="0.3">
      <c r="A842" t="s">
        <v>108</v>
      </c>
      <c r="B842" t="s">
        <v>109</v>
      </c>
      <c r="C842">
        <v>7494139</v>
      </c>
      <c r="D842">
        <v>101041293</v>
      </c>
      <c r="E842" t="s">
        <v>5415</v>
      </c>
      <c r="G842" t="s">
        <v>2198</v>
      </c>
      <c r="H842" t="s">
        <v>1358</v>
      </c>
      <c r="I842" t="s">
        <v>5416</v>
      </c>
    </row>
    <row r="843" spans="1:13" x14ac:dyDescent="0.3">
      <c r="A843" t="s">
        <v>1068</v>
      </c>
      <c r="B843" t="s">
        <v>109</v>
      </c>
      <c r="C843">
        <v>7494139</v>
      </c>
      <c r="D843">
        <v>101095834</v>
      </c>
      <c r="G843" t="s">
        <v>2198</v>
      </c>
      <c r="H843" t="s">
        <v>5022</v>
      </c>
      <c r="I843" t="s">
        <v>5417</v>
      </c>
    </row>
    <row r="844" spans="1:13" x14ac:dyDescent="0.3">
      <c r="A844" t="s">
        <v>4559</v>
      </c>
      <c r="B844" t="s">
        <v>4619</v>
      </c>
      <c r="C844">
        <v>120211967</v>
      </c>
      <c r="D844">
        <v>120211668</v>
      </c>
      <c r="E844" t="s">
        <v>4620</v>
      </c>
      <c r="F844" t="s">
        <v>4621</v>
      </c>
      <c r="G844" t="s">
        <v>2198</v>
      </c>
      <c r="H844" t="s">
        <v>4561</v>
      </c>
      <c r="I844" t="s">
        <v>3102</v>
      </c>
      <c r="J844" t="s">
        <v>4151</v>
      </c>
    </row>
    <row r="845" spans="1:13" x14ac:dyDescent="0.3">
      <c r="A845" t="s">
        <v>4622</v>
      </c>
      <c r="B845" t="s">
        <v>4619</v>
      </c>
      <c r="C845">
        <v>120211967</v>
      </c>
      <c r="D845">
        <v>120211968</v>
      </c>
      <c r="E845" t="s">
        <v>4623</v>
      </c>
      <c r="G845" t="s">
        <v>2198</v>
      </c>
      <c r="H845" t="s">
        <v>1093</v>
      </c>
      <c r="I845" t="s">
        <v>2267</v>
      </c>
      <c r="L845" t="s">
        <v>4624</v>
      </c>
      <c r="M845" t="s">
        <v>4625</v>
      </c>
    </row>
    <row r="846" spans="1:13" x14ac:dyDescent="0.3">
      <c r="A846" t="s">
        <v>5418</v>
      </c>
      <c r="B846" t="s">
        <v>5419</v>
      </c>
      <c r="C846">
        <v>120241978</v>
      </c>
      <c r="D846">
        <v>120241979</v>
      </c>
      <c r="E846" s="14" t="s">
        <v>5420</v>
      </c>
      <c r="G846" t="s">
        <v>5421</v>
      </c>
      <c r="H846" t="s">
        <v>5422</v>
      </c>
      <c r="I846" t="s">
        <v>2259</v>
      </c>
    </row>
    <row r="847" spans="1:13" x14ac:dyDescent="0.3">
      <c r="A847" t="s">
        <v>5428</v>
      </c>
      <c r="B847" t="s">
        <v>5445</v>
      </c>
      <c r="C847">
        <v>120206934</v>
      </c>
      <c r="D847">
        <v>120242151</v>
      </c>
      <c r="E847" t="s">
        <v>5438</v>
      </c>
      <c r="G847" t="s">
        <v>5421</v>
      </c>
    </row>
    <row r="848" spans="1:13" x14ac:dyDescent="0.3">
      <c r="A848" t="s">
        <v>5426</v>
      </c>
      <c r="B848" t="s">
        <v>5445</v>
      </c>
      <c r="C848">
        <v>120206934</v>
      </c>
      <c r="D848">
        <v>120235031</v>
      </c>
      <c r="G848" t="s">
        <v>5421</v>
      </c>
    </row>
    <row r="849" spans="1:7" x14ac:dyDescent="0.3">
      <c r="A849" t="s">
        <v>5427</v>
      </c>
      <c r="B849" t="s">
        <v>5445</v>
      </c>
      <c r="C849">
        <v>120206934</v>
      </c>
      <c r="D849">
        <v>120235016</v>
      </c>
      <c r="G849" t="s">
        <v>5421</v>
      </c>
    </row>
    <row r="850" spans="1:7" x14ac:dyDescent="0.3">
      <c r="A850" t="s">
        <v>4433</v>
      </c>
      <c r="B850" t="s">
        <v>5445</v>
      </c>
      <c r="C850">
        <v>120206934</v>
      </c>
      <c r="D850">
        <v>120206935</v>
      </c>
      <c r="E850" t="s">
        <v>4435</v>
      </c>
      <c r="F850" t="s">
        <v>4436</v>
      </c>
      <c r="G850" t="s">
        <v>5421</v>
      </c>
    </row>
    <row r="851" spans="1:7" x14ac:dyDescent="0.3">
      <c r="A851" t="s">
        <v>4438</v>
      </c>
      <c r="B851" t="s">
        <v>5445</v>
      </c>
      <c r="C851">
        <v>120206934</v>
      </c>
      <c r="D851">
        <v>120206937</v>
      </c>
      <c r="E851" t="s">
        <v>4439</v>
      </c>
      <c r="G851" t="s">
        <v>5421</v>
      </c>
    </row>
    <row r="852" spans="1:7" x14ac:dyDescent="0.3">
      <c r="A852" t="s">
        <v>4442</v>
      </c>
      <c r="B852" t="s">
        <v>5445</v>
      </c>
      <c r="C852">
        <v>120206934</v>
      </c>
      <c r="D852">
        <v>120206936</v>
      </c>
      <c r="E852" t="s">
        <v>4443</v>
      </c>
      <c r="G852" t="s">
        <v>5421</v>
      </c>
    </row>
    <row r="853" spans="1:7" x14ac:dyDescent="0.3">
      <c r="A853" t="s">
        <v>5429</v>
      </c>
      <c r="B853" t="s">
        <v>5445</v>
      </c>
      <c r="C853">
        <v>120206934</v>
      </c>
      <c r="D853">
        <v>120242154</v>
      </c>
      <c r="E853" t="s">
        <v>5439</v>
      </c>
      <c r="G853" t="s">
        <v>5421</v>
      </c>
    </row>
    <row r="854" spans="1:7" x14ac:dyDescent="0.3">
      <c r="A854" t="s">
        <v>5440</v>
      </c>
      <c r="B854" t="s">
        <v>5445</v>
      </c>
      <c r="C854">
        <v>120206934</v>
      </c>
      <c r="D854">
        <v>120242155</v>
      </c>
      <c r="E854" t="s">
        <v>5441</v>
      </c>
      <c r="G854" t="s">
        <v>5421</v>
      </c>
    </row>
    <row r="855" spans="1:7" x14ac:dyDescent="0.3">
      <c r="A855" t="s">
        <v>5432</v>
      </c>
      <c r="B855" t="s">
        <v>5445</v>
      </c>
      <c r="C855">
        <v>120206934</v>
      </c>
      <c r="D855">
        <v>120242153</v>
      </c>
      <c r="E855" t="s">
        <v>5442</v>
      </c>
      <c r="G855" t="s">
        <v>5421</v>
      </c>
    </row>
    <row r="856" spans="1:7" x14ac:dyDescent="0.3">
      <c r="A856" t="s">
        <v>5431</v>
      </c>
      <c r="B856" t="s">
        <v>5445</v>
      </c>
      <c r="C856">
        <v>120206934</v>
      </c>
      <c r="D856">
        <v>120242152</v>
      </c>
      <c r="E856" t="s">
        <v>5443</v>
      </c>
      <c r="G856" t="s">
        <v>5421</v>
      </c>
    </row>
    <row r="857" spans="1:7" x14ac:dyDescent="0.3">
      <c r="A857" t="s">
        <v>5433</v>
      </c>
      <c r="B857" t="s">
        <v>5445</v>
      </c>
      <c r="C857">
        <v>120206934</v>
      </c>
      <c r="D857">
        <v>120242150</v>
      </c>
      <c r="E857" t="s">
        <v>5444</v>
      </c>
      <c r="G857" t="s">
        <v>5421</v>
      </c>
    </row>
    <row r="858" spans="1:7" x14ac:dyDescent="0.3">
      <c r="A858" t="s">
        <v>5446</v>
      </c>
      <c r="B858" t="s">
        <v>5445</v>
      </c>
      <c r="C858">
        <v>120206934</v>
      </c>
      <c r="D858">
        <v>120242158</v>
      </c>
      <c r="E858" s="14" t="s">
        <v>5447</v>
      </c>
      <c r="G858" t="s">
        <v>5448</v>
      </c>
    </row>
    <row r="859" spans="1:7" x14ac:dyDescent="0.3">
      <c r="A859" t="s">
        <v>5430</v>
      </c>
      <c r="B859" t="s">
        <v>5445</v>
      </c>
      <c r="C859">
        <v>120206934</v>
      </c>
      <c r="D859">
        <v>120242159</v>
      </c>
      <c r="E859" s="14" t="s">
        <v>5451</v>
      </c>
      <c r="G859" t="s">
        <v>5421</v>
      </c>
    </row>
    <row r="860" spans="1:7" x14ac:dyDescent="0.3">
      <c r="A860" t="s">
        <v>5452</v>
      </c>
      <c r="B860" t="s">
        <v>5449</v>
      </c>
      <c r="C860">
        <v>514907</v>
      </c>
      <c r="D860">
        <v>100730624</v>
      </c>
      <c r="E860" t="s">
        <v>5453</v>
      </c>
      <c r="G860" t="s">
        <v>5421</v>
      </c>
    </row>
    <row r="861" spans="1:7" x14ac:dyDescent="0.3">
      <c r="A861" t="s">
        <v>5454</v>
      </c>
      <c r="B861" t="s">
        <v>5449</v>
      </c>
      <c r="C861">
        <v>514907</v>
      </c>
      <c r="D861">
        <v>100730623</v>
      </c>
      <c r="E861" t="s">
        <v>5455</v>
      </c>
      <c r="F861" t="s">
        <v>5456</v>
      </c>
      <c r="G861" t="s">
        <v>5421</v>
      </c>
    </row>
    <row r="862" spans="1:7" x14ac:dyDescent="0.3">
      <c r="A862" t="s">
        <v>5436</v>
      </c>
      <c r="B862" t="s">
        <v>5449</v>
      </c>
      <c r="C862">
        <v>514907</v>
      </c>
      <c r="D862">
        <v>120242157</v>
      </c>
      <c r="E862" t="s">
        <v>5457</v>
      </c>
      <c r="G862" t="s">
        <v>5421</v>
      </c>
    </row>
    <row r="863" spans="1:7" x14ac:dyDescent="0.3">
      <c r="A863" t="s">
        <v>5434</v>
      </c>
      <c r="B863" t="s">
        <v>5449</v>
      </c>
      <c r="C863">
        <v>514907</v>
      </c>
      <c r="D863">
        <v>120242156</v>
      </c>
      <c r="E863" t="s">
        <v>5458</v>
      </c>
      <c r="G863" t="s">
        <v>5421</v>
      </c>
    </row>
    <row r="864" spans="1:7" x14ac:dyDescent="0.3">
      <c r="A864" t="s">
        <v>5459</v>
      </c>
      <c r="B864" t="s">
        <v>5450</v>
      </c>
      <c r="C864">
        <v>7408595</v>
      </c>
      <c r="D864">
        <v>100920340</v>
      </c>
      <c r="E864" t="s">
        <v>5460</v>
      </c>
      <c r="G864" t="s">
        <v>5421</v>
      </c>
    </row>
    <row r="865" spans="1:7" x14ac:dyDescent="0.3">
      <c r="A865" t="s">
        <v>5437</v>
      </c>
      <c r="B865" t="s">
        <v>5450</v>
      </c>
      <c r="C865">
        <v>7408595</v>
      </c>
      <c r="D865">
        <v>100920339</v>
      </c>
      <c r="E865" t="s">
        <v>5461</v>
      </c>
      <c r="G865" t="s">
        <v>5421</v>
      </c>
    </row>
    <row r="866" spans="1:7" x14ac:dyDescent="0.3">
      <c r="A866" t="s">
        <v>5462</v>
      </c>
      <c r="B866" t="s">
        <v>5477</v>
      </c>
      <c r="C866">
        <v>120242160</v>
      </c>
      <c r="D866">
        <v>101136172</v>
      </c>
      <c r="E866" t="s">
        <v>5463</v>
      </c>
    </row>
    <row r="867" spans="1:7" x14ac:dyDescent="0.3">
      <c r="A867" t="s">
        <v>5464</v>
      </c>
      <c r="B867" t="s">
        <v>5477</v>
      </c>
      <c r="C867">
        <v>120242160</v>
      </c>
      <c r="D867">
        <v>100994333</v>
      </c>
      <c r="E867" t="s">
        <v>5465</v>
      </c>
    </row>
    <row r="868" spans="1:7" x14ac:dyDescent="0.3">
      <c r="A868" t="s">
        <v>5487</v>
      </c>
      <c r="B868" t="s">
        <v>5477</v>
      </c>
      <c r="C868">
        <v>120242160</v>
      </c>
      <c r="D868">
        <v>120242163</v>
      </c>
      <c r="E868" t="s">
        <v>5466</v>
      </c>
      <c r="F868" t="s">
        <v>5467</v>
      </c>
    </row>
    <row r="869" spans="1:7" x14ac:dyDescent="0.3">
      <c r="A869" t="s">
        <v>5468</v>
      </c>
      <c r="B869" t="s">
        <v>5477</v>
      </c>
      <c r="C869">
        <v>120242160</v>
      </c>
      <c r="D869">
        <v>120242162</v>
      </c>
      <c r="E869" t="s">
        <v>5469</v>
      </c>
      <c r="F869" t="s">
        <v>5470</v>
      </c>
    </row>
    <row r="870" spans="1:7" x14ac:dyDescent="0.3">
      <c r="A870" t="s">
        <v>5471</v>
      </c>
      <c r="B870" t="s">
        <v>5477</v>
      </c>
      <c r="C870">
        <v>120242160</v>
      </c>
      <c r="D870">
        <v>120242161</v>
      </c>
      <c r="E870" t="s">
        <v>5472</v>
      </c>
      <c r="F870" t="s">
        <v>5473</v>
      </c>
    </row>
    <row r="871" spans="1:7" x14ac:dyDescent="0.3">
      <c r="A871" t="s">
        <v>5474</v>
      </c>
      <c r="B871" t="s">
        <v>5477</v>
      </c>
      <c r="C871">
        <v>120242160</v>
      </c>
      <c r="D871">
        <v>120242164</v>
      </c>
      <c r="E871" t="s">
        <v>5475</v>
      </c>
      <c r="F871" t="s">
        <v>5476</v>
      </c>
    </row>
    <row r="872" spans="1:7" x14ac:dyDescent="0.3">
      <c r="A872" t="s">
        <v>5479</v>
      </c>
      <c r="B872" t="s">
        <v>5478</v>
      </c>
      <c r="C872">
        <v>120242165</v>
      </c>
      <c r="D872">
        <v>120242166</v>
      </c>
    </row>
    <row r="873" spans="1:7" x14ac:dyDescent="0.3">
      <c r="A873" t="s">
        <v>5480</v>
      </c>
      <c r="B873" t="s">
        <v>5486</v>
      </c>
      <c r="C873">
        <v>7507305</v>
      </c>
      <c r="D873">
        <v>101090811</v>
      </c>
      <c r="E873" t="s">
        <v>5481</v>
      </c>
    </row>
    <row r="874" spans="1:7" x14ac:dyDescent="0.3">
      <c r="A874" t="s">
        <v>5482</v>
      </c>
      <c r="B874" t="s">
        <v>5486</v>
      </c>
      <c r="C874">
        <v>7507305</v>
      </c>
      <c r="D874">
        <v>120134664</v>
      </c>
      <c r="E874" t="s">
        <v>5483</v>
      </c>
    </row>
    <row r="875" spans="1:7" x14ac:dyDescent="0.3">
      <c r="A875" t="s">
        <v>5484</v>
      </c>
      <c r="B875" t="s">
        <v>5486</v>
      </c>
      <c r="C875">
        <v>7507305</v>
      </c>
      <c r="D875">
        <v>120242167</v>
      </c>
      <c r="E875" t="s">
        <v>5485</v>
      </c>
    </row>
    <row r="876" spans="1:7" x14ac:dyDescent="0.3">
      <c r="A876" t="s">
        <v>5489</v>
      </c>
      <c r="B876" t="s">
        <v>2359</v>
      </c>
      <c r="C876">
        <v>7487916</v>
      </c>
      <c r="D876">
        <v>120242168</v>
      </c>
      <c r="E876" t="s">
        <v>5490</v>
      </c>
    </row>
    <row r="877" spans="1:7" x14ac:dyDescent="0.3">
      <c r="A877" t="s">
        <v>5491</v>
      </c>
      <c r="B877" t="s">
        <v>2359</v>
      </c>
      <c r="C877">
        <v>7487916</v>
      </c>
      <c r="D877">
        <v>120242169</v>
      </c>
      <c r="E877" t="s">
        <v>5492</v>
      </c>
    </row>
    <row r="878" spans="1:7" x14ac:dyDescent="0.3">
      <c r="A878" t="s">
        <v>5493</v>
      </c>
      <c r="B878" t="s">
        <v>2359</v>
      </c>
      <c r="C878">
        <v>7487916</v>
      </c>
      <c r="D878">
        <v>120242170</v>
      </c>
      <c r="E878" t="s">
        <v>5494</v>
      </c>
    </row>
    <row r="879" spans="1:7" x14ac:dyDescent="0.3">
      <c r="A879" t="s">
        <v>5498</v>
      </c>
      <c r="B879" t="s">
        <v>2359</v>
      </c>
      <c r="C879">
        <v>7487916</v>
      </c>
      <c r="D879">
        <v>120242172</v>
      </c>
      <c r="E879" t="s">
        <v>5495</v>
      </c>
    </row>
    <row r="880" spans="1:7" x14ac:dyDescent="0.3">
      <c r="A880" t="s">
        <v>5496</v>
      </c>
      <c r="B880" t="s">
        <v>2359</v>
      </c>
      <c r="C880">
        <v>7487916</v>
      </c>
      <c r="D880">
        <v>120242171</v>
      </c>
      <c r="E880" t="s">
        <v>5497</v>
      </c>
    </row>
    <row r="881" spans="1:5" x14ac:dyDescent="0.3">
      <c r="A881" t="s">
        <v>4628</v>
      </c>
      <c r="B881" t="s">
        <v>24</v>
      </c>
      <c r="C881">
        <v>532951</v>
      </c>
      <c r="D881">
        <v>120242173</v>
      </c>
      <c r="E881" s="14" t="s">
        <v>5499</v>
      </c>
    </row>
  </sheetData>
  <protectedRanges>
    <protectedRange sqref="A2:G122" name="Range1_1"/>
  </protectedRanges>
  <conditionalFormatting sqref="E1">
    <cfRule type="duplicateValues" dxfId="12" priority="6"/>
  </conditionalFormatting>
  <conditionalFormatting sqref="D1">
    <cfRule type="duplicateValues" dxfId="11" priority="4"/>
  </conditionalFormatting>
  <conditionalFormatting sqref="D1">
    <cfRule type="duplicateValues" dxfId="10" priority="7"/>
  </conditionalFormatting>
  <conditionalFormatting sqref="E1:E1048576">
    <cfRule type="duplicateValues" dxfId="9" priority="3"/>
  </conditionalFormatting>
  <conditionalFormatting sqref="A1:A1048576">
    <cfRule type="duplicateValues" dxfId="8" priority="2"/>
  </conditionalFormatting>
  <conditionalFormatting sqref="D1:D1048576">
    <cfRule type="duplicateValues" dxfId="7" priority="1"/>
  </conditionalFormatting>
  <dataValidations count="1">
    <dataValidation type="list" allowBlank="1" showDropDown="1" showInputMessage="1" showErrorMessage="1" sqref="A1:D1" xr:uid="{A3F51B2B-1765-40D5-84C4-A5CDBFB68171}">
      <formula1>"wago1"</formula1>
    </dataValidation>
  </dataValidations>
  <hyperlinks>
    <hyperlink ref="E846" r:id="rId1" xr:uid="{81748991-F4D4-44AA-BB8D-0ACC8FB45695}"/>
    <hyperlink ref="E858" r:id="rId2" xr:uid="{FFD8FE73-CE24-4893-A47A-73557F399510}"/>
    <hyperlink ref="E859" r:id="rId3" xr:uid="{1E103C90-DEC8-4B4C-9EB0-7DFF513D5693}"/>
    <hyperlink ref="E881" r:id="rId4" xr:uid="{37EAE2FB-B97E-450E-911B-D798D9E19133}"/>
  </hyperlinks>
  <pageMargins left="0.7" right="0.7" top="0.75" bottom="0.75" header="0.3" footer="0.3"/>
  <pageSetup orientation="portrait" horizontalDpi="4294967293" r:id="rId5"/>
  <headerFooter>
    <oddFooter>&amp;C&amp;1#&amp;"Calibri"&amp;10&amp;K000000Internal</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7A4179-9B65-4790-A4A8-B04A5D42A461}">
  <sheetPr codeName="Sheet2"/>
  <dimension ref="A1:M1196"/>
  <sheetViews>
    <sheetView zoomScale="70" zoomScaleNormal="70" workbookViewId="0">
      <pane ySplit="1" topLeftCell="A153" activePane="bottomLeft" state="frozen"/>
      <selection activeCell="O17" sqref="O17"/>
      <selection pane="bottomLeft" sqref="A1:F1"/>
    </sheetView>
  </sheetViews>
  <sheetFormatPr defaultRowHeight="14.4" x14ac:dyDescent="0.3"/>
  <cols>
    <col min="1" max="1" width="23.33203125" customWidth="1"/>
    <col min="2" max="2" width="26" customWidth="1"/>
    <col min="3" max="3" width="17.33203125" customWidth="1"/>
    <col min="4" max="4" width="25.5546875" customWidth="1"/>
    <col min="5" max="5" width="53.6640625" customWidth="1"/>
    <col min="6" max="6" width="14.44140625" customWidth="1"/>
    <col min="7" max="7" width="61.6640625" customWidth="1"/>
    <col min="9" max="9" width="11.88671875" bestFit="1" customWidth="1"/>
    <col min="10" max="10" width="11.5546875" bestFit="1" customWidth="1"/>
  </cols>
  <sheetData>
    <row r="1" spans="1:13" s="1" customFormat="1" ht="27.6" customHeight="1" x14ac:dyDescent="0.3">
      <c r="A1" s="3" t="s">
        <v>2</v>
      </c>
      <c r="B1" s="3" t="s">
        <v>0</v>
      </c>
      <c r="C1" s="3" t="s">
        <v>1</v>
      </c>
      <c r="D1" s="4" t="s">
        <v>3</v>
      </c>
      <c r="E1" s="10" t="s">
        <v>11</v>
      </c>
      <c r="F1" s="10" t="s">
        <v>10</v>
      </c>
      <c r="G1" s="10" t="s">
        <v>12</v>
      </c>
      <c r="H1" s="10" t="s">
        <v>13</v>
      </c>
      <c r="I1" s="10" t="s">
        <v>14</v>
      </c>
      <c r="J1" s="1" t="s">
        <v>2192</v>
      </c>
      <c r="K1" s="1" t="s">
        <v>2193</v>
      </c>
      <c r="L1" s="1" t="s">
        <v>2194</v>
      </c>
      <c r="M1" s="1" t="s">
        <v>2195</v>
      </c>
    </row>
    <row r="2" spans="1:13" s="13" customFormat="1" x14ac:dyDescent="0.3">
      <c r="A2" s="13" t="s">
        <v>92</v>
      </c>
      <c r="B2" s="13" t="s">
        <v>93</v>
      </c>
      <c r="C2" s="13">
        <v>507143</v>
      </c>
      <c r="D2" s="13">
        <v>101334627</v>
      </c>
      <c r="E2"/>
      <c r="F2"/>
      <c r="G2"/>
      <c r="H2"/>
      <c r="I2"/>
    </row>
    <row r="3" spans="1:13" s="13" customFormat="1" ht="15" customHeight="1" x14ac:dyDescent="0.3">
      <c r="A3" t="s">
        <v>1930</v>
      </c>
      <c r="B3" t="s">
        <v>93</v>
      </c>
      <c r="C3">
        <v>507143</v>
      </c>
      <c r="D3">
        <v>120169548</v>
      </c>
      <c r="E3" t="s">
        <v>1949</v>
      </c>
      <c r="F3"/>
      <c r="G3"/>
      <c r="H3" s="15" t="str">
        <f>IF(ISBLANK(A3),"",IFERROR(LEFT(A3,SEARCH(" ",A3)-1),""))</f>
        <v>Derrick</v>
      </c>
      <c r="I3" s="15" t="str">
        <f>IF(ISBLANK(A3),"",IFERROR(RIGHT(A3,LEN(A3)-SEARCH(" ",A3)),""))</f>
        <v>Muncy</v>
      </c>
      <c r="J3"/>
      <c r="K3"/>
      <c r="L3"/>
      <c r="M3"/>
    </row>
    <row r="4" spans="1:13" s="13" customFormat="1" ht="15" customHeight="1" x14ac:dyDescent="0.3">
      <c r="A4" s="13" t="s">
        <v>69</v>
      </c>
      <c r="B4" s="13" t="s">
        <v>70</v>
      </c>
      <c r="C4" s="13">
        <v>7460691</v>
      </c>
      <c r="D4" s="13">
        <v>101266580</v>
      </c>
      <c r="E4"/>
      <c r="F4"/>
      <c r="G4"/>
      <c r="H4"/>
      <c r="I4"/>
    </row>
    <row r="5" spans="1:13" s="13" customFormat="1" ht="15" customHeight="1" x14ac:dyDescent="0.3">
      <c r="A5" t="s">
        <v>277</v>
      </c>
      <c r="B5" t="s">
        <v>2868</v>
      </c>
      <c r="C5">
        <v>7463020</v>
      </c>
      <c r="D5">
        <v>100994251</v>
      </c>
      <c r="E5" t="s">
        <v>279</v>
      </c>
      <c r="F5"/>
      <c r="G5"/>
      <c r="H5" t="s">
        <v>1182</v>
      </c>
      <c r="I5" t="s">
        <v>2902</v>
      </c>
      <c r="J5"/>
      <c r="K5"/>
      <c r="L5"/>
      <c r="M5" t="s">
        <v>2903</v>
      </c>
    </row>
    <row r="6" spans="1:13" s="13" customFormat="1" ht="15" customHeight="1" x14ac:dyDescent="0.3">
      <c r="A6" t="s">
        <v>2869</v>
      </c>
      <c r="B6" t="s">
        <v>2868</v>
      </c>
      <c r="C6">
        <v>7463020</v>
      </c>
      <c r="D6">
        <v>101140208</v>
      </c>
      <c r="E6" t="s">
        <v>2870</v>
      </c>
      <c r="F6"/>
      <c r="G6"/>
      <c r="H6" t="s">
        <v>2904</v>
      </c>
      <c r="I6" t="s">
        <v>2905</v>
      </c>
      <c r="J6" t="s">
        <v>2898</v>
      </c>
      <c r="K6"/>
      <c r="L6"/>
      <c r="M6" t="s">
        <v>2903</v>
      </c>
    </row>
    <row r="7" spans="1:13" s="13" customFormat="1" ht="15" customHeight="1" x14ac:dyDescent="0.3">
      <c r="A7" s="13" t="s">
        <v>56</v>
      </c>
      <c r="B7" s="13" t="s">
        <v>57</v>
      </c>
      <c r="C7" s="13">
        <v>7467067</v>
      </c>
      <c r="D7" s="13">
        <v>101290610</v>
      </c>
      <c r="E7"/>
      <c r="F7"/>
      <c r="G7"/>
      <c r="H7"/>
      <c r="I7"/>
    </row>
    <row r="8" spans="1:13" s="13" customFormat="1" ht="15" customHeight="1" x14ac:dyDescent="0.3">
      <c r="A8" s="13" t="s">
        <v>58</v>
      </c>
      <c r="B8" s="13" t="s">
        <v>57</v>
      </c>
      <c r="C8" s="13">
        <v>7467067</v>
      </c>
      <c r="D8" s="13">
        <v>101216956</v>
      </c>
      <c r="E8"/>
      <c r="F8"/>
      <c r="G8"/>
      <c r="H8"/>
      <c r="I8"/>
    </row>
    <row r="9" spans="1:13" s="13" customFormat="1" ht="15" customHeight="1" x14ac:dyDescent="0.3">
      <c r="A9" s="13" t="s">
        <v>59</v>
      </c>
      <c r="B9" s="13" t="s">
        <v>57</v>
      </c>
      <c r="C9" s="13">
        <v>7467067</v>
      </c>
      <c r="D9" s="13">
        <v>101238446</v>
      </c>
      <c r="E9"/>
      <c r="F9"/>
      <c r="G9"/>
      <c r="H9"/>
      <c r="I9"/>
    </row>
    <row r="10" spans="1:13" s="13" customFormat="1" ht="15" customHeight="1" x14ac:dyDescent="0.3">
      <c r="A10" s="13" t="s">
        <v>85</v>
      </c>
      <c r="B10" s="13" t="s">
        <v>57</v>
      </c>
      <c r="C10" s="13">
        <v>7467067</v>
      </c>
      <c r="D10" s="13">
        <v>101334600</v>
      </c>
      <c r="E10"/>
      <c r="F10"/>
      <c r="G10"/>
      <c r="H10"/>
      <c r="I10"/>
    </row>
    <row r="11" spans="1:13" s="13" customFormat="1" ht="15" customHeight="1" x14ac:dyDescent="0.3">
      <c r="A11" s="13" t="s">
        <v>86</v>
      </c>
      <c r="B11" s="13" t="s">
        <v>57</v>
      </c>
      <c r="C11" s="13">
        <v>7467067</v>
      </c>
      <c r="D11" s="13">
        <v>101334601</v>
      </c>
      <c r="E11"/>
      <c r="F11"/>
      <c r="G11"/>
      <c r="H11"/>
      <c r="I11"/>
    </row>
    <row r="12" spans="1:13" s="13" customFormat="1" ht="15" customHeight="1" x14ac:dyDescent="0.3">
      <c r="A12" s="13" t="s">
        <v>87</v>
      </c>
      <c r="B12" s="13" t="s">
        <v>57</v>
      </c>
      <c r="C12" s="13">
        <v>7467067</v>
      </c>
      <c r="D12" s="13">
        <v>101334602</v>
      </c>
      <c r="E12"/>
      <c r="F12"/>
      <c r="G12"/>
      <c r="H12"/>
      <c r="I12"/>
    </row>
    <row r="13" spans="1:13" s="13" customFormat="1" ht="15" customHeight="1" x14ac:dyDescent="0.3">
      <c r="A13" s="13" t="s">
        <v>118</v>
      </c>
      <c r="B13" s="13" t="s">
        <v>57</v>
      </c>
      <c r="C13" s="13">
        <v>7467067</v>
      </c>
      <c r="D13" s="13">
        <v>101336095</v>
      </c>
      <c r="E13"/>
      <c r="F13"/>
      <c r="G13"/>
      <c r="H13"/>
      <c r="I13"/>
    </row>
    <row r="14" spans="1:13" s="13" customFormat="1" ht="15" customHeight="1" x14ac:dyDescent="0.3">
      <c r="A14" t="s">
        <v>169</v>
      </c>
      <c r="B14" t="s">
        <v>170</v>
      </c>
      <c r="C14">
        <v>7498595</v>
      </c>
      <c r="D14">
        <v>101362236</v>
      </c>
      <c r="E14" t="s">
        <v>171</v>
      </c>
      <c r="F14"/>
      <c r="G14"/>
      <c r="H14"/>
      <c r="I14"/>
    </row>
    <row r="15" spans="1:13" s="13" customFormat="1" ht="15" customHeight="1" x14ac:dyDescent="0.3">
      <c r="A15" t="s">
        <v>172</v>
      </c>
      <c r="B15" t="s">
        <v>170</v>
      </c>
      <c r="C15">
        <v>7498595</v>
      </c>
      <c r="D15">
        <v>101362235</v>
      </c>
      <c r="E15" t="s">
        <v>173</v>
      </c>
      <c r="F15"/>
      <c r="G15"/>
      <c r="H15"/>
      <c r="I15"/>
    </row>
    <row r="16" spans="1:13" s="13" customFormat="1" ht="15" customHeight="1" x14ac:dyDescent="0.3">
      <c r="A16" t="s">
        <v>2191</v>
      </c>
      <c r="B16" t="s">
        <v>2232</v>
      </c>
      <c r="C16">
        <v>120171916</v>
      </c>
      <c r="D16">
        <v>120172029</v>
      </c>
      <c r="E16" t="s">
        <v>2233</v>
      </c>
      <c r="F16"/>
      <c r="G16" t="s">
        <v>2198</v>
      </c>
      <c r="H16" t="s">
        <v>1226</v>
      </c>
      <c r="I16" t="s">
        <v>2234</v>
      </c>
      <c r="J16" t="s">
        <v>2200</v>
      </c>
      <c r="K16"/>
      <c r="L16"/>
      <c r="M16"/>
    </row>
    <row r="17" spans="1:13" s="13" customFormat="1" ht="15" customHeight="1" x14ac:dyDescent="0.3">
      <c r="A17" s="13" t="s">
        <v>36</v>
      </c>
      <c r="B17" s="13" t="s">
        <v>37</v>
      </c>
      <c r="C17" s="13">
        <v>518250</v>
      </c>
      <c r="D17" s="13">
        <v>100966580</v>
      </c>
      <c r="E17"/>
      <c r="F17"/>
      <c r="G17"/>
      <c r="H17"/>
      <c r="I17"/>
    </row>
    <row r="18" spans="1:13" s="13" customFormat="1" ht="15" customHeight="1" x14ac:dyDescent="0.3">
      <c r="A18" t="s">
        <v>2189</v>
      </c>
      <c r="B18" t="s">
        <v>2190</v>
      </c>
      <c r="C18">
        <v>120171917</v>
      </c>
      <c r="D18">
        <v>120172028</v>
      </c>
      <c r="E18" t="s">
        <v>2235</v>
      </c>
      <c r="F18"/>
      <c r="G18" t="s">
        <v>2198</v>
      </c>
      <c r="H18" t="s">
        <v>2236</v>
      </c>
      <c r="I18" t="s">
        <v>2237</v>
      </c>
      <c r="J18" t="s">
        <v>2200</v>
      </c>
      <c r="K18"/>
      <c r="L18"/>
      <c r="M18"/>
    </row>
    <row r="19" spans="1:13" s="13" customFormat="1" ht="15" customHeight="1" x14ac:dyDescent="0.3">
      <c r="A19" t="s">
        <v>1957</v>
      </c>
      <c r="B19" t="s">
        <v>1969</v>
      </c>
      <c r="C19">
        <v>110006112</v>
      </c>
      <c r="D19">
        <v>101140268</v>
      </c>
      <c r="E19" t="s">
        <v>1963</v>
      </c>
      <c r="F19"/>
      <c r="G19"/>
      <c r="H19" s="15" t="str">
        <f t="shared" ref="H19:H24" si="0">IF(ISBLANK(A19),"",IFERROR(LEFT(A19,SEARCH(" ",A19)-1),""))</f>
        <v>Jonathan</v>
      </c>
      <c r="I19" s="15" t="str">
        <f t="shared" ref="I19:I24" si="1">IF(ISBLANK(A19),"",IFERROR(RIGHT(A19,LEN(A19)-SEARCH(" ",A19)),""))</f>
        <v>Colorado</v>
      </c>
      <c r="J19"/>
      <c r="K19"/>
      <c r="L19"/>
      <c r="M19"/>
    </row>
    <row r="20" spans="1:13" s="13" customFormat="1" ht="15" customHeight="1" x14ac:dyDescent="0.3">
      <c r="A20" t="s">
        <v>1958</v>
      </c>
      <c r="B20" t="s">
        <v>1969</v>
      </c>
      <c r="C20">
        <v>110006112</v>
      </c>
      <c r="D20">
        <v>101116241</v>
      </c>
      <c r="E20" t="s">
        <v>1964</v>
      </c>
      <c r="F20"/>
      <c r="G20"/>
      <c r="H20" s="15" t="str">
        <f t="shared" si="0"/>
        <v>Matthew</v>
      </c>
      <c r="I20" s="15" t="str">
        <f t="shared" si="1"/>
        <v>Craig</v>
      </c>
      <c r="J20"/>
      <c r="K20"/>
      <c r="L20"/>
      <c r="M20"/>
    </row>
    <row r="21" spans="1:13" s="13" customFormat="1" ht="15" customHeight="1" x14ac:dyDescent="0.3">
      <c r="A21" t="s">
        <v>1959</v>
      </c>
      <c r="B21" t="s">
        <v>1969</v>
      </c>
      <c r="C21">
        <v>110006112</v>
      </c>
      <c r="D21">
        <v>101134648</v>
      </c>
      <c r="E21" t="s">
        <v>1965</v>
      </c>
      <c r="F21"/>
      <c r="G21"/>
      <c r="H21" s="15" t="str">
        <f t="shared" si="0"/>
        <v>Ian</v>
      </c>
      <c r="I21" s="15" t="str">
        <f t="shared" si="1"/>
        <v>Dixon</v>
      </c>
      <c r="J21"/>
      <c r="K21"/>
      <c r="L21"/>
      <c r="M21"/>
    </row>
    <row r="22" spans="1:13" s="13" customFormat="1" ht="15" customHeight="1" x14ac:dyDescent="0.3">
      <c r="A22" t="s">
        <v>1960</v>
      </c>
      <c r="B22" t="s">
        <v>1969</v>
      </c>
      <c r="C22">
        <v>110006112</v>
      </c>
      <c r="D22">
        <v>101140269</v>
      </c>
      <c r="E22" t="s">
        <v>1966</v>
      </c>
      <c r="F22"/>
      <c r="G22"/>
      <c r="H22" s="15" t="str">
        <f t="shared" si="0"/>
        <v>John</v>
      </c>
      <c r="I22" s="15" t="str">
        <f t="shared" si="1"/>
        <v>Douglas</v>
      </c>
      <c r="J22"/>
      <c r="K22"/>
      <c r="L22"/>
      <c r="M22"/>
    </row>
    <row r="23" spans="1:13" s="13" customFormat="1" ht="15" customHeight="1" x14ac:dyDescent="0.3">
      <c r="A23" t="s">
        <v>1961</v>
      </c>
      <c r="B23" t="s">
        <v>1969</v>
      </c>
      <c r="C23">
        <v>110006112</v>
      </c>
      <c r="D23">
        <v>101140280</v>
      </c>
      <c r="E23" t="s">
        <v>1967</v>
      </c>
      <c r="F23"/>
      <c r="G23"/>
      <c r="H23" s="15" t="str">
        <f t="shared" si="0"/>
        <v>John</v>
      </c>
      <c r="I23" s="15" t="str">
        <f t="shared" si="1"/>
        <v>Killgo</v>
      </c>
      <c r="J23"/>
      <c r="K23"/>
      <c r="L23"/>
      <c r="M23"/>
    </row>
    <row r="24" spans="1:13" s="13" customFormat="1" ht="15" customHeight="1" x14ac:dyDescent="0.3">
      <c r="A24" t="s">
        <v>1962</v>
      </c>
      <c r="B24" t="s">
        <v>1969</v>
      </c>
      <c r="C24">
        <v>110006112</v>
      </c>
      <c r="D24">
        <v>101140281</v>
      </c>
      <c r="E24" t="s">
        <v>1968</v>
      </c>
      <c r="F24"/>
      <c r="G24"/>
      <c r="H24" s="15" t="str">
        <f t="shared" si="0"/>
        <v>Najib</v>
      </c>
      <c r="I24" s="15" t="str">
        <f t="shared" si="1"/>
        <v>Sequias</v>
      </c>
      <c r="J24"/>
      <c r="K24"/>
      <c r="L24"/>
      <c r="M24"/>
    </row>
    <row r="25" spans="1:13" s="13" customFormat="1" ht="15" customHeight="1" x14ac:dyDescent="0.3">
      <c r="A25" t="s">
        <v>2007</v>
      </c>
      <c r="B25" t="s">
        <v>1969</v>
      </c>
      <c r="C25">
        <v>110006112</v>
      </c>
      <c r="D25">
        <v>120171270</v>
      </c>
      <c r="E25" t="s">
        <v>2025</v>
      </c>
      <c r="F25"/>
      <c r="G25"/>
      <c r="H25" s="15" t="str">
        <f>IF(ISBLANK(#REF!),"",IFERROR(LEFT(#REF!,SEARCH(" ",#REF!)-1),""))</f>
        <v/>
      </c>
      <c r="I25" s="15" t="str">
        <f>IF(ISBLANK(#REF!),"",IFERROR(RIGHT(#REF!,LEN(#REF!)-SEARCH(" ",#REF!)),""))</f>
        <v/>
      </c>
      <c r="J25"/>
      <c r="K25"/>
      <c r="L25"/>
      <c r="M25"/>
    </row>
    <row r="26" spans="1:13" s="13" customFormat="1" ht="15" customHeight="1" x14ac:dyDescent="0.3">
      <c r="A26" t="s">
        <v>2026</v>
      </c>
      <c r="B26" t="s">
        <v>1969</v>
      </c>
      <c r="C26">
        <v>110006112</v>
      </c>
      <c r="D26">
        <v>120171267</v>
      </c>
      <c r="E26" t="s">
        <v>2027</v>
      </c>
      <c r="F26"/>
      <c r="G26"/>
      <c r="H26" s="15" t="str">
        <f>IF(ISBLANK(#REF!),"",IFERROR(LEFT(#REF!,SEARCH(" ",#REF!)-1),""))</f>
        <v/>
      </c>
      <c r="I26" s="15" t="str">
        <f>IF(ISBLANK(#REF!),"",IFERROR(RIGHT(#REF!,LEN(#REF!)-SEARCH(" ",#REF!)),""))</f>
        <v/>
      </c>
      <c r="J26"/>
      <c r="K26"/>
      <c r="L26"/>
      <c r="M26"/>
    </row>
    <row r="27" spans="1:13" s="13" customFormat="1" ht="15" customHeight="1" x14ac:dyDescent="0.3">
      <c r="A27" t="s">
        <v>2028</v>
      </c>
      <c r="B27" t="s">
        <v>1969</v>
      </c>
      <c r="C27">
        <v>110006112</v>
      </c>
      <c r="D27">
        <v>120171268</v>
      </c>
      <c r="E27" t="s">
        <v>2029</v>
      </c>
      <c r="F27"/>
      <c r="G27"/>
      <c r="H27" s="15" t="str">
        <f>IF(ISBLANK(#REF!),"",IFERROR(LEFT(#REF!,SEARCH(" ",#REF!)-1),""))</f>
        <v/>
      </c>
      <c r="I27" s="15" t="str">
        <f>IF(ISBLANK(#REF!),"",IFERROR(RIGHT(#REF!,LEN(#REF!)-SEARCH(" ",#REF!)),""))</f>
        <v/>
      </c>
      <c r="J27"/>
      <c r="K27"/>
      <c r="L27"/>
      <c r="M27"/>
    </row>
    <row r="28" spans="1:13" s="13" customFormat="1" ht="15" customHeight="1" x14ac:dyDescent="0.3">
      <c r="A28" t="s">
        <v>2030</v>
      </c>
      <c r="B28" t="s">
        <v>1969</v>
      </c>
      <c r="C28">
        <v>110006112</v>
      </c>
      <c r="D28">
        <v>120171266</v>
      </c>
      <c r="E28" t="s">
        <v>2031</v>
      </c>
      <c r="F28"/>
      <c r="G28"/>
      <c r="H28" s="15" t="str">
        <f>IF(ISBLANK(#REF!),"",IFERROR(LEFT(#REF!,SEARCH(" ",#REF!)-1),""))</f>
        <v/>
      </c>
      <c r="I28" s="15" t="str">
        <f>IF(ISBLANK(#REF!),"",IFERROR(RIGHT(#REF!,LEN(#REF!)-SEARCH(" ",#REF!)),""))</f>
        <v/>
      </c>
      <c r="J28"/>
      <c r="K28"/>
      <c r="L28"/>
      <c r="M28"/>
    </row>
    <row r="29" spans="1:13" s="13" customFormat="1" ht="15" customHeight="1" x14ac:dyDescent="0.3">
      <c r="A29" t="s">
        <v>2032</v>
      </c>
      <c r="B29" t="s">
        <v>1969</v>
      </c>
      <c r="C29">
        <v>110006112</v>
      </c>
      <c r="D29">
        <v>120171265</v>
      </c>
      <c r="E29" t="s">
        <v>2033</v>
      </c>
      <c r="F29"/>
      <c r="G29"/>
      <c r="H29" s="15" t="str">
        <f>IF(ISBLANK(#REF!),"",IFERROR(LEFT(#REF!,SEARCH(" ",#REF!)-1),""))</f>
        <v/>
      </c>
      <c r="I29" s="15" t="str">
        <f>IF(ISBLANK(#REF!),"",IFERROR(RIGHT(#REF!,LEN(#REF!)-SEARCH(" ",#REF!)),""))</f>
        <v/>
      </c>
      <c r="J29"/>
      <c r="K29"/>
      <c r="L29"/>
      <c r="M29"/>
    </row>
    <row r="30" spans="1:13" s="13" customFormat="1" ht="15" customHeight="1" x14ac:dyDescent="0.3">
      <c r="A30" t="s">
        <v>2034</v>
      </c>
      <c r="B30" t="s">
        <v>1969</v>
      </c>
      <c r="C30">
        <v>110006112</v>
      </c>
      <c r="D30">
        <v>120171269</v>
      </c>
      <c r="E30" t="s">
        <v>2035</v>
      </c>
      <c r="F30"/>
      <c r="G30"/>
      <c r="H30" s="15" t="str">
        <f>IF(ISBLANK(#REF!),"",IFERROR(LEFT(#REF!,SEARCH(" ",#REF!)-1),""))</f>
        <v/>
      </c>
      <c r="I30" s="15" t="str">
        <f>IF(ISBLANK(#REF!),"",IFERROR(RIGHT(#REF!,LEN(#REF!)-SEARCH(" ",#REF!)),""))</f>
        <v/>
      </c>
      <c r="J30"/>
      <c r="K30"/>
      <c r="L30"/>
      <c r="M30"/>
    </row>
    <row r="31" spans="1:13" s="13" customFormat="1" ht="15" customHeight="1" x14ac:dyDescent="0.3">
      <c r="A31" t="s">
        <v>2760</v>
      </c>
      <c r="B31" t="s">
        <v>1969</v>
      </c>
      <c r="C31">
        <v>110006112</v>
      </c>
      <c r="D31">
        <v>120172473</v>
      </c>
      <c r="E31" s="14" t="s">
        <v>2761</v>
      </c>
      <c r="F31"/>
      <c r="G31"/>
      <c r="H31" t="s">
        <v>2856</v>
      </c>
      <c r="I31" t="s">
        <v>2857</v>
      </c>
      <c r="J31"/>
      <c r="K31"/>
      <c r="L31"/>
      <c r="M31"/>
    </row>
    <row r="32" spans="1:13" s="13" customFormat="1" ht="15" customHeight="1" x14ac:dyDescent="0.3">
      <c r="A32" t="s">
        <v>459</v>
      </c>
      <c r="B32" t="s">
        <v>460</v>
      </c>
      <c r="C32">
        <v>508073</v>
      </c>
      <c r="D32">
        <v>101189700</v>
      </c>
      <c r="E32" t="s">
        <v>461</v>
      </c>
      <c r="F32" t="s">
        <v>462</v>
      </c>
      <c r="G32" t="s">
        <v>463</v>
      </c>
      <c r="H32"/>
      <c r="I32"/>
      <c r="J32"/>
      <c r="K32"/>
      <c r="L32"/>
      <c r="M32"/>
    </row>
    <row r="33" spans="1:13" s="13" customFormat="1" ht="15" customHeight="1" x14ac:dyDescent="0.3">
      <c r="A33" t="s">
        <v>464</v>
      </c>
      <c r="B33" t="s">
        <v>460</v>
      </c>
      <c r="C33">
        <v>508073</v>
      </c>
      <c r="D33">
        <v>101189712</v>
      </c>
      <c r="E33" t="s">
        <v>465</v>
      </c>
      <c r="F33" t="s">
        <v>135</v>
      </c>
      <c r="G33" t="s">
        <v>463</v>
      </c>
      <c r="H33"/>
      <c r="I33"/>
      <c r="J33"/>
      <c r="K33"/>
      <c r="L33"/>
      <c r="M33"/>
    </row>
    <row r="34" spans="1:13" s="13" customFormat="1" ht="15" customHeight="1" x14ac:dyDescent="0.3">
      <c r="A34" t="s">
        <v>466</v>
      </c>
      <c r="B34" t="s">
        <v>460</v>
      </c>
      <c r="C34">
        <v>508073</v>
      </c>
      <c r="D34">
        <v>101203380</v>
      </c>
      <c r="E34" t="s">
        <v>467</v>
      </c>
      <c r="F34" t="s">
        <v>468</v>
      </c>
      <c r="G34" t="s">
        <v>463</v>
      </c>
      <c r="H34"/>
      <c r="I34"/>
      <c r="J34"/>
      <c r="K34"/>
      <c r="L34"/>
      <c r="M34"/>
    </row>
    <row r="35" spans="1:13" s="13" customFormat="1" ht="15" customHeight="1" x14ac:dyDescent="0.3">
      <c r="A35" t="s">
        <v>469</v>
      </c>
      <c r="B35" t="s">
        <v>460</v>
      </c>
      <c r="C35">
        <v>508073</v>
      </c>
      <c r="D35">
        <v>100901305</v>
      </c>
      <c r="E35" t="s">
        <v>135</v>
      </c>
      <c r="F35" t="s">
        <v>135</v>
      </c>
      <c r="G35" t="s">
        <v>463</v>
      </c>
      <c r="H35"/>
      <c r="I35"/>
      <c r="J35"/>
      <c r="K35"/>
      <c r="L35"/>
      <c r="M35"/>
    </row>
    <row r="36" spans="1:13" s="13" customFormat="1" ht="15" customHeight="1" x14ac:dyDescent="0.3">
      <c r="A36" t="s">
        <v>470</v>
      </c>
      <c r="B36" t="s">
        <v>460</v>
      </c>
      <c r="C36">
        <v>508073</v>
      </c>
      <c r="D36">
        <v>101203378</v>
      </c>
      <c r="E36" t="s">
        <v>471</v>
      </c>
      <c r="F36" t="s">
        <v>472</v>
      </c>
      <c r="G36" t="s">
        <v>463</v>
      </c>
      <c r="H36"/>
      <c r="I36"/>
      <c r="J36"/>
      <c r="K36"/>
      <c r="L36"/>
      <c r="M36"/>
    </row>
    <row r="37" spans="1:13" s="13" customFormat="1" ht="15" customHeight="1" x14ac:dyDescent="0.3">
      <c r="A37" t="s">
        <v>473</v>
      </c>
      <c r="B37" t="s">
        <v>460</v>
      </c>
      <c r="C37">
        <v>508073</v>
      </c>
      <c r="D37">
        <v>101203381</v>
      </c>
      <c r="E37" t="s">
        <v>474</v>
      </c>
      <c r="F37" t="s">
        <v>475</v>
      </c>
      <c r="G37" t="s">
        <v>463</v>
      </c>
      <c r="H37"/>
      <c r="I37"/>
      <c r="J37"/>
      <c r="K37"/>
      <c r="L37"/>
      <c r="M37"/>
    </row>
    <row r="38" spans="1:13" s="13" customFormat="1" ht="15" customHeight="1" x14ac:dyDescent="0.3">
      <c r="A38" t="s">
        <v>476</v>
      </c>
      <c r="B38" t="s">
        <v>460</v>
      </c>
      <c r="C38">
        <v>508073</v>
      </c>
      <c r="D38">
        <v>101238163</v>
      </c>
      <c r="E38" t="s">
        <v>477</v>
      </c>
      <c r="F38" t="s">
        <v>478</v>
      </c>
      <c r="G38" t="s">
        <v>463</v>
      </c>
      <c r="H38"/>
      <c r="I38"/>
      <c r="J38"/>
      <c r="K38"/>
      <c r="L38"/>
      <c r="M38"/>
    </row>
    <row r="39" spans="1:13" s="13" customFormat="1" ht="15" customHeight="1" x14ac:dyDescent="0.3">
      <c r="A39" t="s">
        <v>479</v>
      </c>
      <c r="B39" t="s">
        <v>460</v>
      </c>
      <c r="C39">
        <v>508073</v>
      </c>
      <c r="D39">
        <v>100901307</v>
      </c>
      <c r="E39" t="s">
        <v>480</v>
      </c>
      <c r="F39" t="s">
        <v>135</v>
      </c>
      <c r="G39" t="s">
        <v>463</v>
      </c>
      <c r="H39"/>
      <c r="I39"/>
      <c r="J39"/>
      <c r="K39"/>
      <c r="L39"/>
      <c r="M39"/>
    </row>
    <row r="40" spans="1:13" s="13" customFormat="1" ht="15" customHeight="1" x14ac:dyDescent="0.3">
      <c r="A40" t="s">
        <v>481</v>
      </c>
      <c r="B40" t="s">
        <v>460</v>
      </c>
      <c r="C40">
        <v>508073</v>
      </c>
      <c r="D40">
        <v>100901306</v>
      </c>
      <c r="E40" t="s">
        <v>482</v>
      </c>
      <c r="F40" t="s">
        <v>135</v>
      </c>
      <c r="G40" t="s">
        <v>463</v>
      </c>
      <c r="H40"/>
      <c r="I40"/>
      <c r="J40"/>
      <c r="K40"/>
      <c r="L40"/>
      <c r="M40"/>
    </row>
    <row r="41" spans="1:13" s="13" customFormat="1" ht="15" customHeight="1" x14ac:dyDescent="0.3">
      <c r="A41" t="s">
        <v>483</v>
      </c>
      <c r="B41" t="s">
        <v>460</v>
      </c>
      <c r="C41">
        <v>508073</v>
      </c>
      <c r="D41">
        <v>101363517</v>
      </c>
      <c r="E41" t="s">
        <v>484</v>
      </c>
      <c r="F41" t="s">
        <v>485</v>
      </c>
      <c r="G41" t="s">
        <v>463</v>
      </c>
      <c r="H41"/>
      <c r="I41"/>
      <c r="J41"/>
      <c r="K41"/>
      <c r="L41"/>
      <c r="M41"/>
    </row>
    <row r="42" spans="1:13" s="13" customFormat="1" ht="15" customHeight="1" x14ac:dyDescent="0.3">
      <c r="A42" t="s">
        <v>486</v>
      </c>
      <c r="B42" t="s">
        <v>460</v>
      </c>
      <c r="C42">
        <v>508073</v>
      </c>
      <c r="D42">
        <v>101203376</v>
      </c>
      <c r="E42" t="s">
        <v>487</v>
      </c>
      <c r="F42" t="s">
        <v>488</v>
      </c>
      <c r="G42" t="s">
        <v>463</v>
      </c>
      <c r="H42"/>
      <c r="I42"/>
      <c r="J42"/>
      <c r="K42"/>
      <c r="L42"/>
      <c r="M42"/>
    </row>
    <row r="43" spans="1:13" s="13" customFormat="1" ht="15" customHeight="1" x14ac:dyDescent="0.3">
      <c r="A43" t="s">
        <v>489</v>
      </c>
      <c r="B43" t="s">
        <v>460</v>
      </c>
      <c r="C43">
        <v>508073</v>
      </c>
      <c r="D43">
        <v>101189701</v>
      </c>
      <c r="E43" t="s">
        <v>490</v>
      </c>
      <c r="F43" t="s">
        <v>491</v>
      </c>
      <c r="G43" t="s">
        <v>463</v>
      </c>
      <c r="H43"/>
      <c r="I43"/>
      <c r="J43"/>
      <c r="K43"/>
      <c r="L43"/>
      <c r="M43"/>
    </row>
    <row r="44" spans="1:13" s="13" customFormat="1" ht="15" customHeight="1" x14ac:dyDescent="0.3">
      <c r="A44" t="s">
        <v>492</v>
      </c>
      <c r="B44" t="s">
        <v>460</v>
      </c>
      <c r="C44">
        <v>508073</v>
      </c>
      <c r="D44">
        <v>101189702</v>
      </c>
      <c r="E44" t="s">
        <v>493</v>
      </c>
      <c r="F44" t="s">
        <v>135</v>
      </c>
      <c r="G44" t="s">
        <v>463</v>
      </c>
      <c r="H44"/>
      <c r="I44"/>
      <c r="J44"/>
      <c r="K44"/>
      <c r="L44"/>
      <c r="M44"/>
    </row>
    <row r="45" spans="1:13" s="13" customFormat="1" ht="15" customHeight="1" x14ac:dyDescent="0.3">
      <c r="A45" t="s">
        <v>494</v>
      </c>
      <c r="B45" t="s">
        <v>460</v>
      </c>
      <c r="C45">
        <v>508073</v>
      </c>
      <c r="D45">
        <v>101189709</v>
      </c>
      <c r="E45" t="s">
        <v>495</v>
      </c>
      <c r="F45" t="s">
        <v>135</v>
      </c>
      <c r="G45" t="s">
        <v>463</v>
      </c>
      <c r="H45"/>
      <c r="I45"/>
      <c r="J45"/>
      <c r="K45"/>
      <c r="L45"/>
      <c r="M45"/>
    </row>
    <row r="46" spans="1:13" s="13" customFormat="1" ht="15" customHeight="1" x14ac:dyDescent="0.3">
      <c r="A46" t="s">
        <v>496</v>
      </c>
      <c r="B46" t="s">
        <v>460</v>
      </c>
      <c r="C46">
        <v>508073</v>
      </c>
      <c r="D46">
        <v>101328097</v>
      </c>
      <c r="E46" t="s">
        <v>497</v>
      </c>
      <c r="F46" t="s">
        <v>135</v>
      </c>
      <c r="G46" t="s">
        <v>463</v>
      </c>
      <c r="H46"/>
      <c r="I46"/>
      <c r="J46"/>
      <c r="K46"/>
      <c r="L46"/>
      <c r="M46"/>
    </row>
    <row r="47" spans="1:13" s="13" customFormat="1" ht="15" customHeight="1" x14ac:dyDescent="0.3">
      <c r="A47" t="s">
        <v>2323</v>
      </c>
      <c r="B47" t="s">
        <v>2324</v>
      </c>
      <c r="C47">
        <v>508073</v>
      </c>
      <c r="D47">
        <v>101140272</v>
      </c>
      <c r="E47" t="s">
        <v>2325</v>
      </c>
      <c r="F47"/>
      <c r="G47" t="s">
        <v>2198</v>
      </c>
      <c r="H47" t="s">
        <v>1146</v>
      </c>
      <c r="I47" t="s">
        <v>2326</v>
      </c>
      <c r="J47"/>
      <c r="K47"/>
      <c r="L47"/>
      <c r="M47"/>
    </row>
    <row r="48" spans="1:13" s="13" customFormat="1" ht="15" customHeight="1" x14ac:dyDescent="0.3">
      <c r="A48" t="s">
        <v>2327</v>
      </c>
      <c r="B48" t="s">
        <v>2324</v>
      </c>
      <c r="C48">
        <v>508073</v>
      </c>
      <c r="D48">
        <v>101140271</v>
      </c>
      <c r="E48"/>
      <c r="F48"/>
      <c r="G48" t="s">
        <v>2198</v>
      </c>
      <c r="H48" t="s">
        <v>1161</v>
      </c>
      <c r="I48" t="s">
        <v>2290</v>
      </c>
      <c r="J48" t="s">
        <v>2328</v>
      </c>
      <c r="K48"/>
      <c r="L48"/>
      <c r="M48"/>
    </row>
    <row r="49" spans="1:13" s="13" customFormat="1" ht="15" customHeight="1" x14ac:dyDescent="0.3">
      <c r="A49" t="s">
        <v>459</v>
      </c>
      <c r="B49" t="s">
        <v>2324</v>
      </c>
      <c r="C49">
        <v>508073</v>
      </c>
      <c r="D49">
        <v>100727905</v>
      </c>
      <c r="E49" t="s">
        <v>461</v>
      </c>
      <c r="F49" t="s">
        <v>2329</v>
      </c>
      <c r="G49" t="s">
        <v>2198</v>
      </c>
      <c r="H49" t="s">
        <v>1238</v>
      </c>
      <c r="I49" t="s">
        <v>2330</v>
      </c>
      <c r="J49" t="s">
        <v>2331</v>
      </c>
      <c r="K49"/>
      <c r="L49" t="s">
        <v>2332</v>
      </c>
      <c r="M49"/>
    </row>
    <row r="50" spans="1:13" s="13" customFormat="1" ht="15" customHeight="1" x14ac:dyDescent="0.3">
      <c r="A50" t="s">
        <v>2333</v>
      </c>
      <c r="B50" t="s">
        <v>2324</v>
      </c>
      <c r="C50">
        <v>508073</v>
      </c>
      <c r="D50">
        <v>101134681</v>
      </c>
      <c r="E50" t="s">
        <v>2334</v>
      </c>
      <c r="F50"/>
      <c r="G50" t="s">
        <v>2198</v>
      </c>
      <c r="H50" t="s">
        <v>1084</v>
      </c>
      <c r="I50" t="s">
        <v>2335</v>
      </c>
      <c r="J50"/>
      <c r="K50"/>
      <c r="L50"/>
      <c r="M50"/>
    </row>
    <row r="51" spans="1:13" s="13" customFormat="1" ht="15" customHeight="1" x14ac:dyDescent="0.3">
      <c r="A51" t="s">
        <v>464</v>
      </c>
      <c r="B51" t="s">
        <v>2324</v>
      </c>
      <c r="C51">
        <v>508073</v>
      </c>
      <c r="D51">
        <v>100727909</v>
      </c>
      <c r="E51" t="s">
        <v>465</v>
      </c>
      <c r="F51"/>
      <c r="G51" t="s">
        <v>2198</v>
      </c>
      <c r="H51" t="s">
        <v>2253</v>
      </c>
      <c r="I51" t="s">
        <v>2336</v>
      </c>
      <c r="J51" t="s">
        <v>2337</v>
      </c>
      <c r="K51"/>
      <c r="L51"/>
      <c r="M51"/>
    </row>
    <row r="52" spans="1:13" s="13" customFormat="1" ht="15" customHeight="1" x14ac:dyDescent="0.3">
      <c r="A52" t="s">
        <v>466</v>
      </c>
      <c r="B52" t="s">
        <v>2324</v>
      </c>
      <c r="C52">
        <v>508073</v>
      </c>
      <c r="D52">
        <v>100728022</v>
      </c>
      <c r="E52" t="s">
        <v>467</v>
      </c>
      <c r="F52" t="s">
        <v>2338</v>
      </c>
      <c r="G52" t="s">
        <v>2198</v>
      </c>
      <c r="H52" t="s">
        <v>1241</v>
      </c>
      <c r="I52" t="s">
        <v>2339</v>
      </c>
      <c r="J52" t="s">
        <v>2340</v>
      </c>
      <c r="K52"/>
      <c r="L52" t="s">
        <v>2341</v>
      </c>
      <c r="M52"/>
    </row>
    <row r="53" spans="1:13" s="13" customFormat="1" ht="15" customHeight="1" x14ac:dyDescent="0.3">
      <c r="A53" t="s">
        <v>469</v>
      </c>
      <c r="B53" t="s">
        <v>2324</v>
      </c>
      <c r="C53">
        <v>508073</v>
      </c>
      <c r="D53">
        <v>100727902</v>
      </c>
      <c r="E53"/>
      <c r="F53"/>
      <c r="G53" t="s">
        <v>2198</v>
      </c>
      <c r="H53" t="s">
        <v>1238</v>
      </c>
      <c r="I53" t="s">
        <v>2342</v>
      </c>
      <c r="J53" t="s">
        <v>2343</v>
      </c>
      <c r="K53" t="s">
        <v>2344</v>
      </c>
      <c r="L53" t="s">
        <v>2345</v>
      </c>
      <c r="M53"/>
    </row>
    <row r="54" spans="1:13" s="13" customFormat="1" ht="15" customHeight="1" x14ac:dyDescent="0.3">
      <c r="A54" t="s">
        <v>470</v>
      </c>
      <c r="B54" t="s">
        <v>2324</v>
      </c>
      <c r="C54">
        <v>508073</v>
      </c>
      <c r="D54">
        <v>100728021</v>
      </c>
      <c r="E54" t="s">
        <v>471</v>
      </c>
      <c r="F54" t="s">
        <v>2346</v>
      </c>
      <c r="G54" t="s">
        <v>2198</v>
      </c>
      <c r="H54" t="s">
        <v>2347</v>
      </c>
      <c r="I54" t="s">
        <v>2348</v>
      </c>
      <c r="J54"/>
      <c r="K54" t="s">
        <v>2349</v>
      </c>
      <c r="L54" t="s">
        <v>2350</v>
      </c>
      <c r="M54"/>
    </row>
    <row r="55" spans="1:13" s="13" customFormat="1" ht="15" customHeight="1" x14ac:dyDescent="0.3">
      <c r="A55" t="s">
        <v>473</v>
      </c>
      <c r="B55" t="s">
        <v>2324</v>
      </c>
      <c r="C55">
        <v>508073</v>
      </c>
      <c r="D55">
        <v>100728023</v>
      </c>
      <c r="E55" t="s">
        <v>474</v>
      </c>
      <c r="F55" t="s">
        <v>2351</v>
      </c>
      <c r="G55" t="s">
        <v>2198</v>
      </c>
      <c r="H55" t="s">
        <v>1162</v>
      </c>
      <c r="I55" t="s">
        <v>2352</v>
      </c>
      <c r="J55" t="s">
        <v>2353</v>
      </c>
      <c r="K55"/>
      <c r="L55" t="s">
        <v>2354</v>
      </c>
      <c r="M55"/>
    </row>
    <row r="56" spans="1:13" s="13" customFormat="1" ht="15" customHeight="1" x14ac:dyDescent="0.3">
      <c r="A56" t="s">
        <v>2355</v>
      </c>
      <c r="B56" t="s">
        <v>2324</v>
      </c>
      <c r="C56">
        <v>508073</v>
      </c>
      <c r="D56">
        <v>101128164</v>
      </c>
      <c r="E56" t="s">
        <v>2356</v>
      </c>
      <c r="F56"/>
      <c r="G56" t="s">
        <v>2198</v>
      </c>
      <c r="H56" t="s">
        <v>1138</v>
      </c>
      <c r="I56" t="s">
        <v>2357</v>
      </c>
      <c r="J56"/>
      <c r="K56"/>
      <c r="L56"/>
      <c r="M56"/>
    </row>
    <row r="57" spans="1:13" s="13" customFormat="1" ht="15" customHeight="1" x14ac:dyDescent="0.3">
      <c r="A57" t="s">
        <v>2584</v>
      </c>
      <c r="B57" t="s">
        <v>2324</v>
      </c>
      <c r="C57">
        <v>508073</v>
      </c>
      <c r="D57">
        <v>120090373</v>
      </c>
      <c r="E57"/>
      <c r="F57"/>
      <c r="G57" t="s">
        <v>2198</v>
      </c>
      <c r="H57" t="s">
        <v>2585</v>
      </c>
      <c r="I57" t="s">
        <v>2586</v>
      </c>
      <c r="J57"/>
      <c r="K57" t="s">
        <v>2587</v>
      </c>
      <c r="L57"/>
      <c r="M57"/>
    </row>
    <row r="58" spans="1:13" s="13" customFormat="1" ht="15" customHeight="1" x14ac:dyDescent="0.3">
      <c r="A58" t="s">
        <v>476</v>
      </c>
      <c r="B58" t="s">
        <v>2324</v>
      </c>
      <c r="C58">
        <v>508073</v>
      </c>
      <c r="D58">
        <v>100728024</v>
      </c>
      <c r="E58" t="s">
        <v>477</v>
      </c>
      <c r="F58" t="s">
        <v>2588</v>
      </c>
      <c r="G58" t="s">
        <v>2198</v>
      </c>
      <c r="H58" t="s">
        <v>1278</v>
      </c>
      <c r="I58" t="s">
        <v>2589</v>
      </c>
      <c r="J58"/>
      <c r="K58"/>
      <c r="L58"/>
      <c r="M58"/>
    </row>
    <row r="59" spans="1:13" s="13" customFormat="1" ht="15" customHeight="1" x14ac:dyDescent="0.3">
      <c r="A59" t="s">
        <v>479</v>
      </c>
      <c r="B59" t="s">
        <v>2324</v>
      </c>
      <c r="C59">
        <v>508073</v>
      </c>
      <c r="D59">
        <v>100727904</v>
      </c>
      <c r="E59" t="s">
        <v>480</v>
      </c>
      <c r="F59"/>
      <c r="G59" t="s">
        <v>2198</v>
      </c>
      <c r="H59" t="s">
        <v>1084</v>
      </c>
      <c r="I59" t="s">
        <v>2590</v>
      </c>
      <c r="J59" t="s">
        <v>2591</v>
      </c>
      <c r="K59" t="s">
        <v>2592</v>
      </c>
      <c r="L59" t="s">
        <v>2593</v>
      </c>
      <c r="M59"/>
    </row>
    <row r="60" spans="1:13" s="13" customFormat="1" ht="15" customHeight="1" x14ac:dyDescent="0.3">
      <c r="A60" t="s">
        <v>2188</v>
      </c>
      <c r="B60" t="s">
        <v>2324</v>
      </c>
      <c r="C60">
        <v>508073</v>
      </c>
      <c r="D60">
        <v>120172027</v>
      </c>
      <c r="E60" t="s">
        <v>2594</v>
      </c>
      <c r="F60"/>
      <c r="G60" t="s">
        <v>2198</v>
      </c>
      <c r="H60" t="s">
        <v>1146</v>
      </c>
      <c r="I60" t="s">
        <v>2595</v>
      </c>
      <c r="J60"/>
      <c r="K60"/>
      <c r="L60"/>
      <c r="M60"/>
    </row>
    <row r="61" spans="1:13" s="13" customFormat="1" ht="15" customHeight="1" x14ac:dyDescent="0.3">
      <c r="A61" t="s">
        <v>2596</v>
      </c>
      <c r="B61" t="s">
        <v>2324</v>
      </c>
      <c r="C61">
        <v>508073</v>
      </c>
      <c r="D61">
        <v>101134680</v>
      </c>
      <c r="E61" t="s">
        <v>2597</v>
      </c>
      <c r="F61"/>
      <c r="G61" t="s">
        <v>2198</v>
      </c>
      <c r="H61" t="s">
        <v>2598</v>
      </c>
      <c r="I61" t="s">
        <v>2599</v>
      </c>
      <c r="J61" t="s">
        <v>2600</v>
      </c>
      <c r="K61" t="s">
        <v>2601</v>
      </c>
      <c r="L61"/>
      <c r="M61"/>
    </row>
    <row r="62" spans="1:13" s="13" customFormat="1" ht="15" customHeight="1" x14ac:dyDescent="0.3">
      <c r="A62" t="s">
        <v>2602</v>
      </c>
      <c r="B62" t="s">
        <v>2324</v>
      </c>
      <c r="C62">
        <v>508073</v>
      </c>
      <c r="D62">
        <v>101140273</v>
      </c>
      <c r="E62" t="s">
        <v>2603</v>
      </c>
      <c r="F62"/>
      <c r="G62" t="s">
        <v>2198</v>
      </c>
      <c r="H62" t="s">
        <v>2382</v>
      </c>
      <c r="I62" t="s">
        <v>2604</v>
      </c>
      <c r="J62"/>
      <c r="K62"/>
      <c r="L62"/>
      <c r="M62"/>
    </row>
    <row r="63" spans="1:13" s="13" customFormat="1" ht="15" customHeight="1" x14ac:dyDescent="0.3">
      <c r="A63" t="s">
        <v>2605</v>
      </c>
      <c r="B63" t="s">
        <v>2324</v>
      </c>
      <c r="C63">
        <v>508073</v>
      </c>
      <c r="D63">
        <v>101140270</v>
      </c>
      <c r="E63" t="s">
        <v>2606</v>
      </c>
      <c r="F63"/>
      <c r="G63" t="s">
        <v>2198</v>
      </c>
      <c r="H63" t="s">
        <v>1136</v>
      </c>
      <c r="I63" t="s">
        <v>2607</v>
      </c>
      <c r="J63"/>
      <c r="K63"/>
      <c r="L63"/>
      <c r="M63"/>
    </row>
    <row r="64" spans="1:13" s="13" customFormat="1" ht="15" customHeight="1" x14ac:dyDescent="0.3">
      <c r="A64" t="s">
        <v>481</v>
      </c>
      <c r="B64" t="s">
        <v>2324</v>
      </c>
      <c r="C64">
        <v>508073</v>
      </c>
      <c r="D64">
        <v>100727903</v>
      </c>
      <c r="E64" t="s">
        <v>482</v>
      </c>
      <c r="F64"/>
      <c r="G64" t="s">
        <v>2198</v>
      </c>
      <c r="H64" t="s">
        <v>1162</v>
      </c>
      <c r="I64" t="s">
        <v>2608</v>
      </c>
      <c r="J64" t="s">
        <v>2431</v>
      </c>
      <c r="K64" t="s">
        <v>2609</v>
      </c>
      <c r="L64" t="s">
        <v>2345</v>
      </c>
      <c r="M64"/>
    </row>
    <row r="65" spans="1:13" s="13" customFormat="1" ht="15" customHeight="1" x14ac:dyDescent="0.3">
      <c r="A65" t="s">
        <v>483</v>
      </c>
      <c r="B65" t="s">
        <v>2324</v>
      </c>
      <c r="C65">
        <v>508073</v>
      </c>
      <c r="D65">
        <v>101060393</v>
      </c>
      <c r="E65" t="s">
        <v>484</v>
      </c>
      <c r="F65" t="s">
        <v>2610</v>
      </c>
      <c r="G65" t="s">
        <v>2198</v>
      </c>
      <c r="H65" t="s">
        <v>1093</v>
      </c>
      <c r="I65" t="s">
        <v>2611</v>
      </c>
      <c r="J65"/>
      <c r="K65"/>
      <c r="L65"/>
      <c r="M65"/>
    </row>
    <row r="66" spans="1:13" s="13" customFormat="1" ht="15" customHeight="1" x14ac:dyDescent="0.3">
      <c r="A66" t="s">
        <v>486</v>
      </c>
      <c r="B66" t="s">
        <v>2324</v>
      </c>
      <c r="C66">
        <v>508073</v>
      </c>
      <c r="D66">
        <v>100728020</v>
      </c>
      <c r="E66" t="s">
        <v>487</v>
      </c>
      <c r="F66" t="s">
        <v>2612</v>
      </c>
      <c r="G66" t="s">
        <v>2198</v>
      </c>
      <c r="H66" t="s">
        <v>1358</v>
      </c>
      <c r="I66" t="s">
        <v>2613</v>
      </c>
      <c r="J66" t="s">
        <v>2592</v>
      </c>
      <c r="K66"/>
      <c r="L66" t="s">
        <v>2614</v>
      </c>
      <c r="M66"/>
    </row>
    <row r="67" spans="1:13" s="13" customFormat="1" ht="15" customHeight="1" x14ac:dyDescent="0.3">
      <c r="A67" t="s">
        <v>489</v>
      </c>
      <c r="B67" t="s">
        <v>2324</v>
      </c>
      <c r="C67">
        <v>508073</v>
      </c>
      <c r="D67">
        <v>100727906</v>
      </c>
      <c r="E67" t="s">
        <v>490</v>
      </c>
      <c r="F67" t="s">
        <v>2615</v>
      </c>
      <c r="G67" t="s">
        <v>2198</v>
      </c>
      <c r="H67" t="s">
        <v>1169</v>
      </c>
      <c r="I67" t="s">
        <v>2616</v>
      </c>
      <c r="J67" t="s">
        <v>2617</v>
      </c>
      <c r="K67"/>
      <c r="L67" t="s">
        <v>2618</v>
      </c>
      <c r="M67"/>
    </row>
    <row r="68" spans="1:13" s="13" customFormat="1" ht="15" customHeight="1" x14ac:dyDescent="0.3">
      <c r="A68" t="s">
        <v>494</v>
      </c>
      <c r="B68" t="s">
        <v>2324</v>
      </c>
      <c r="C68">
        <v>508073</v>
      </c>
      <c r="D68">
        <v>100727908</v>
      </c>
      <c r="E68" t="s">
        <v>495</v>
      </c>
      <c r="F68"/>
      <c r="G68" t="s">
        <v>2198</v>
      </c>
      <c r="H68" t="s">
        <v>2619</v>
      </c>
      <c r="I68" t="s">
        <v>2620</v>
      </c>
      <c r="J68" t="s">
        <v>2591</v>
      </c>
      <c r="K68"/>
      <c r="L68"/>
      <c r="M68"/>
    </row>
    <row r="69" spans="1:13" s="13" customFormat="1" ht="15" customHeight="1" x14ac:dyDescent="0.3">
      <c r="A69" t="s">
        <v>492</v>
      </c>
      <c r="B69" t="s">
        <v>2324</v>
      </c>
      <c r="C69">
        <v>508073</v>
      </c>
      <c r="D69">
        <v>100727907</v>
      </c>
      <c r="E69" t="s">
        <v>493</v>
      </c>
      <c r="F69"/>
      <c r="G69" t="s">
        <v>2198</v>
      </c>
      <c r="H69" t="s">
        <v>2621</v>
      </c>
      <c r="I69" t="s">
        <v>2620</v>
      </c>
      <c r="J69" t="s">
        <v>2622</v>
      </c>
      <c r="K69"/>
      <c r="L69" t="s">
        <v>2623</v>
      </c>
      <c r="M69"/>
    </row>
    <row r="70" spans="1:13" s="13" customFormat="1" ht="15" customHeight="1" x14ac:dyDescent="0.3">
      <c r="A70" t="s">
        <v>496</v>
      </c>
      <c r="B70" t="s">
        <v>2324</v>
      </c>
      <c r="C70">
        <v>508073</v>
      </c>
      <c r="D70">
        <v>101029197</v>
      </c>
      <c r="E70" t="s">
        <v>497</v>
      </c>
      <c r="F70"/>
      <c r="G70" t="s">
        <v>2198</v>
      </c>
      <c r="H70" t="s">
        <v>2624</v>
      </c>
      <c r="I70" t="s">
        <v>2625</v>
      </c>
      <c r="J70"/>
      <c r="K70"/>
      <c r="L70"/>
      <c r="M70"/>
    </row>
    <row r="71" spans="1:13" s="13" customFormat="1" ht="15" customHeight="1" x14ac:dyDescent="0.3">
      <c r="A71" t="s">
        <v>2860</v>
      </c>
      <c r="B71" t="s">
        <v>460</v>
      </c>
      <c r="C71">
        <v>508073</v>
      </c>
      <c r="D71">
        <v>120172602</v>
      </c>
      <c r="E71" s="14" t="s">
        <v>2861</v>
      </c>
      <c r="F71" t="s">
        <v>2862</v>
      </c>
      <c r="G71"/>
      <c r="H71" t="s">
        <v>2863</v>
      </c>
      <c r="I71" t="s">
        <v>2864</v>
      </c>
      <c r="J71"/>
      <c r="K71"/>
      <c r="L71"/>
      <c r="M71"/>
    </row>
    <row r="72" spans="1:13" s="13" customFormat="1" ht="15" customHeight="1" x14ac:dyDescent="0.3">
      <c r="A72" t="s">
        <v>2808</v>
      </c>
      <c r="B72" t="s">
        <v>2809</v>
      </c>
      <c r="C72">
        <v>120096404</v>
      </c>
      <c r="D72">
        <v>120096471</v>
      </c>
      <c r="E72" t="s">
        <v>2810</v>
      </c>
      <c r="F72"/>
      <c r="G72"/>
      <c r="H72" t="s">
        <v>2835</v>
      </c>
      <c r="I72" t="s">
        <v>2836</v>
      </c>
      <c r="J72" t="s">
        <v>2343</v>
      </c>
      <c r="K72" t="s">
        <v>2343</v>
      </c>
      <c r="L72" t="s">
        <v>2837</v>
      </c>
      <c r="M72"/>
    </row>
    <row r="73" spans="1:13" s="13" customFormat="1" ht="15" customHeight="1" x14ac:dyDescent="0.3">
      <c r="A73" t="s">
        <v>2811</v>
      </c>
      <c r="B73" t="s">
        <v>2809</v>
      </c>
      <c r="C73">
        <v>120096404</v>
      </c>
      <c r="D73">
        <v>120096472</v>
      </c>
      <c r="E73" t="s">
        <v>2812</v>
      </c>
      <c r="F73"/>
      <c r="G73"/>
      <c r="H73" t="s">
        <v>18</v>
      </c>
      <c r="I73" t="s">
        <v>2838</v>
      </c>
      <c r="J73" t="s">
        <v>2200</v>
      </c>
      <c r="K73" t="s">
        <v>2431</v>
      </c>
      <c r="L73" t="s">
        <v>2839</v>
      </c>
      <c r="M73"/>
    </row>
    <row r="74" spans="1:13" s="13" customFormat="1" ht="15" customHeight="1" x14ac:dyDescent="0.3">
      <c r="A74" t="s">
        <v>2813</v>
      </c>
      <c r="B74" t="s">
        <v>2809</v>
      </c>
      <c r="C74">
        <v>120096404</v>
      </c>
      <c r="D74">
        <v>120096474</v>
      </c>
      <c r="E74" t="s">
        <v>2814</v>
      </c>
      <c r="F74"/>
      <c r="G74"/>
      <c r="H74" t="s">
        <v>2502</v>
      </c>
      <c r="I74" t="s">
        <v>2840</v>
      </c>
      <c r="J74" t="s">
        <v>2200</v>
      </c>
      <c r="K74" t="s">
        <v>2431</v>
      </c>
      <c r="L74" t="s">
        <v>2839</v>
      </c>
      <c r="M74"/>
    </row>
    <row r="75" spans="1:13" s="13" customFormat="1" ht="15" customHeight="1" x14ac:dyDescent="0.3">
      <c r="A75" s="13" t="s">
        <v>121</v>
      </c>
      <c r="B75" s="13" t="s">
        <v>122</v>
      </c>
      <c r="C75" s="13">
        <v>7438426</v>
      </c>
      <c r="D75" s="13">
        <v>101244645</v>
      </c>
      <c r="E75"/>
      <c r="F75"/>
      <c r="G75"/>
      <c r="H75"/>
      <c r="I75"/>
    </row>
    <row r="76" spans="1:13" s="13" customFormat="1" ht="15" customHeight="1" x14ac:dyDescent="0.3">
      <c r="A76" t="s">
        <v>280</v>
      </c>
      <c r="B76" t="s">
        <v>122</v>
      </c>
      <c r="C76">
        <v>7438426</v>
      </c>
      <c r="D76">
        <v>101335079</v>
      </c>
      <c r="E76" t="s">
        <v>281</v>
      </c>
      <c r="F76" t="s">
        <v>135</v>
      </c>
      <c r="G76" t="s">
        <v>282</v>
      </c>
      <c r="H76"/>
      <c r="I76"/>
    </row>
    <row r="77" spans="1:13" s="13" customFormat="1" ht="15" customHeight="1" x14ac:dyDescent="0.3">
      <c r="A77" t="s">
        <v>283</v>
      </c>
      <c r="B77" t="s">
        <v>122</v>
      </c>
      <c r="C77">
        <v>7438426</v>
      </c>
      <c r="D77">
        <v>101240707</v>
      </c>
      <c r="E77" t="s">
        <v>284</v>
      </c>
      <c r="F77" t="s">
        <v>135</v>
      </c>
      <c r="G77" t="s">
        <v>282</v>
      </c>
      <c r="H77"/>
      <c r="I77"/>
    </row>
    <row r="78" spans="1:13" s="13" customFormat="1" ht="15" customHeight="1" x14ac:dyDescent="0.3">
      <c r="A78" t="s">
        <v>285</v>
      </c>
      <c r="B78" t="s">
        <v>122</v>
      </c>
      <c r="C78">
        <v>7438426</v>
      </c>
      <c r="D78">
        <v>101244648</v>
      </c>
      <c r="E78" t="s">
        <v>286</v>
      </c>
      <c r="F78" t="s">
        <v>135</v>
      </c>
      <c r="G78" t="s">
        <v>282</v>
      </c>
      <c r="H78"/>
      <c r="I78"/>
    </row>
    <row r="79" spans="1:13" s="13" customFormat="1" ht="15" customHeight="1" x14ac:dyDescent="0.3">
      <c r="A79" t="s">
        <v>287</v>
      </c>
      <c r="B79" t="s">
        <v>122</v>
      </c>
      <c r="C79">
        <v>7438426</v>
      </c>
      <c r="D79">
        <v>101352955</v>
      </c>
      <c r="E79" t="s">
        <v>288</v>
      </c>
      <c r="F79" t="s">
        <v>135</v>
      </c>
      <c r="G79" t="s">
        <v>282</v>
      </c>
      <c r="H79"/>
      <c r="I79"/>
    </row>
    <row r="80" spans="1:13" s="13" customFormat="1" ht="15" customHeight="1" x14ac:dyDescent="0.3">
      <c r="A80" t="s">
        <v>289</v>
      </c>
      <c r="B80" t="s">
        <v>122</v>
      </c>
      <c r="C80">
        <v>7438426</v>
      </c>
      <c r="D80">
        <v>101203055</v>
      </c>
      <c r="E80" t="s">
        <v>290</v>
      </c>
      <c r="F80" t="s">
        <v>135</v>
      </c>
      <c r="G80" t="s">
        <v>282</v>
      </c>
      <c r="H80"/>
      <c r="I80"/>
    </row>
    <row r="81" spans="1:9" s="13" customFormat="1" ht="15" customHeight="1" x14ac:dyDescent="0.3">
      <c r="A81" t="s">
        <v>291</v>
      </c>
      <c r="B81" t="s">
        <v>122</v>
      </c>
      <c r="C81">
        <v>7438426</v>
      </c>
      <c r="D81">
        <v>101334558</v>
      </c>
      <c r="E81" t="s">
        <v>292</v>
      </c>
      <c r="F81" t="s">
        <v>135</v>
      </c>
      <c r="G81" t="s">
        <v>282</v>
      </c>
      <c r="H81"/>
      <c r="I81"/>
    </row>
    <row r="82" spans="1:9" s="13" customFormat="1" ht="15" customHeight="1" x14ac:dyDescent="0.3">
      <c r="A82" t="s">
        <v>293</v>
      </c>
      <c r="B82" t="s">
        <v>122</v>
      </c>
      <c r="C82">
        <v>7438426</v>
      </c>
      <c r="D82">
        <v>101334294</v>
      </c>
      <c r="E82" t="s">
        <v>294</v>
      </c>
      <c r="F82" t="s">
        <v>135</v>
      </c>
      <c r="G82" t="s">
        <v>282</v>
      </c>
      <c r="H82"/>
      <c r="I82"/>
    </row>
    <row r="83" spans="1:9" s="13" customFormat="1" ht="15" customHeight="1" x14ac:dyDescent="0.3">
      <c r="A83" t="s">
        <v>295</v>
      </c>
      <c r="B83" t="s">
        <v>122</v>
      </c>
      <c r="C83">
        <v>7438426</v>
      </c>
      <c r="D83">
        <v>101334296</v>
      </c>
      <c r="E83" t="s">
        <v>296</v>
      </c>
      <c r="F83" t="s">
        <v>135</v>
      </c>
      <c r="G83" t="s">
        <v>282</v>
      </c>
      <c r="H83"/>
      <c r="I83"/>
    </row>
    <row r="84" spans="1:9" s="13" customFormat="1" ht="15" customHeight="1" x14ac:dyDescent="0.3">
      <c r="A84" t="s">
        <v>297</v>
      </c>
      <c r="B84" t="s">
        <v>122</v>
      </c>
      <c r="C84">
        <v>7438426</v>
      </c>
      <c r="D84">
        <v>101334560</v>
      </c>
      <c r="E84" t="s">
        <v>298</v>
      </c>
      <c r="F84" t="s">
        <v>135</v>
      </c>
      <c r="G84" t="s">
        <v>282</v>
      </c>
      <c r="H84"/>
      <c r="I84"/>
    </row>
    <row r="85" spans="1:9" s="13" customFormat="1" ht="15" customHeight="1" x14ac:dyDescent="0.3">
      <c r="A85" t="s">
        <v>299</v>
      </c>
      <c r="B85" t="s">
        <v>122</v>
      </c>
      <c r="C85">
        <v>7438426</v>
      </c>
      <c r="D85">
        <v>101334365</v>
      </c>
      <c r="E85" t="s">
        <v>300</v>
      </c>
      <c r="F85" t="s">
        <v>135</v>
      </c>
      <c r="G85" t="s">
        <v>282</v>
      </c>
      <c r="H85"/>
      <c r="I85"/>
    </row>
    <row r="86" spans="1:9" s="13" customFormat="1" ht="15" customHeight="1" x14ac:dyDescent="0.3">
      <c r="A86" t="s">
        <v>301</v>
      </c>
      <c r="B86" t="s">
        <v>122</v>
      </c>
      <c r="C86">
        <v>7438426</v>
      </c>
      <c r="D86">
        <v>101314847</v>
      </c>
      <c r="E86" t="s">
        <v>135</v>
      </c>
      <c r="F86" t="s">
        <v>135</v>
      </c>
      <c r="G86" t="s">
        <v>282</v>
      </c>
      <c r="H86"/>
      <c r="I86"/>
    </row>
    <row r="87" spans="1:9" s="13" customFormat="1" ht="15" customHeight="1" x14ac:dyDescent="0.3">
      <c r="A87" t="s">
        <v>302</v>
      </c>
      <c r="B87" t="s">
        <v>122</v>
      </c>
      <c r="C87">
        <v>7438426</v>
      </c>
      <c r="D87">
        <v>101334361</v>
      </c>
      <c r="E87" t="s">
        <v>303</v>
      </c>
      <c r="F87" t="s">
        <v>135</v>
      </c>
      <c r="G87" t="s">
        <v>282</v>
      </c>
      <c r="H87"/>
      <c r="I87"/>
    </row>
    <row r="88" spans="1:9" s="13" customFormat="1" ht="15" customHeight="1" x14ac:dyDescent="0.3">
      <c r="A88" t="s">
        <v>304</v>
      </c>
      <c r="B88" t="s">
        <v>122</v>
      </c>
      <c r="C88">
        <v>7438426</v>
      </c>
      <c r="D88">
        <v>101216896</v>
      </c>
      <c r="E88" t="s">
        <v>305</v>
      </c>
      <c r="F88" t="s">
        <v>135</v>
      </c>
      <c r="G88" t="s">
        <v>282</v>
      </c>
      <c r="H88"/>
      <c r="I88"/>
    </row>
    <row r="89" spans="1:9" s="13" customFormat="1" ht="15" customHeight="1" x14ac:dyDescent="0.3">
      <c r="A89" t="s">
        <v>306</v>
      </c>
      <c r="B89" t="s">
        <v>122</v>
      </c>
      <c r="C89">
        <v>7438426</v>
      </c>
      <c r="D89">
        <v>101244647</v>
      </c>
      <c r="E89" t="s">
        <v>307</v>
      </c>
      <c r="F89" t="s">
        <v>135</v>
      </c>
      <c r="G89" t="s">
        <v>282</v>
      </c>
      <c r="H89"/>
      <c r="I89"/>
    </row>
    <row r="90" spans="1:9" s="13" customFormat="1" ht="15" customHeight="1" x14ac:dyDescent="0.3">
      <c r="A90" t="s">
        <v>308</v>
      </c>
      <c r="B90" t="s">
        <v>122</v>
      </c>
      <c r="C90">
        <v>7438426</v>
      </c>
      <c r="D90">
        <v>101334295</v>
      </c>
      <c r="E90" t="s">
        <v>309</v>
      </c>
      <c r="F90" t="s">
        <v>135</v>
      </c>
      <c r="G90" t="s">
        <v>282</v>
      </c>
      <c r="H90"/>
      <c r="I90"/>
    </row>
    <row r="91" spans="1:9" s="13" customFormat="1" ht="15" customHeight="1" x14ac:dyDescent="0.3">
      <c r="A91" t="s">
        <v>310</v>
      </c>
      <c r="B91" t="s">
        <v>122</v>
      </c>
      <c r="C91">
        <v>7438426</v>
      </c>
      <c r="D91">
        <v>101314846</v>
      </c>
      <c r="E91" t="s">
        <v>135</v>
      </c>
      <c r="F91" t="s">
        <v>135</v>
      </c>
      <c r="G91" t="s">
        <v>282</v>
      </c>
      <c r="H91"/>
      <c r="I91"/>
    </row>
    <row r="92" spans="1:9" s="13" customFormat="1" ht="15" customHeight="1" x14ac:dyDescent="0.3">
      <c r="A92" t="s">
        <v>311</v>
      </c>
      <c r="B92" t="s">
        <v>122</v>
      </c>
      <c r="C92">
        <v>7438426</v>
      </c>
      <c r="D92">
        <v>101334567</v>
      </c>
      <c r="E92" t="s">
        <v>312</v>
      </c>
      <c r="F92" t="s">
        <v>135</v>
      </c>
      <c r="G92" t="s">
        <v>282</v>
      </c>
      <c r="H92"/>
      <c r="I92"/>
    </row>
    <row r="93" spans="1:9" s="13" customFormat="1" ht="15" customHeight="1" x14ac:dyDescent="0.3">
      <c r="A93" t="s">
        <v>313</v>
      </c>
      <c r="B93" t="s">
        <v>122</v>
      </c>
      <c r="C93">
        <v>7438426</v>
      </c>
      <c r="D93">
        <v>101334565</v>
      </c>
      <c r="E93" t="s">
        <v>135</v>
      </c>
      <c r="F93" t="s">
        <v>135</v>
      </c>
      <c r="G93" t="s">
        <v>282</v>
      </c>
      <c r="H93"/>
      <c r="I93"/>
    </row>
    <row r="94" spans="1:9" s="13" customFormat="1" ht="15" customHeight="1" x14ac:dyDescent="0.3">
      <c r="A94" t="s">
        <v>314</v>
      </c>
      <c r="B94" t="s">
        <v>122</v>
      </c>
      <c r="C94">
        <v>7438426</v>
      </c>
      <c r="D94">
        <v>101334359</v>
      </c>
      <c r="E94" t="s">
        <v>315</v>
      </c>
      <c r="F94" t="s">
        <v>135</v>
      </c>
      <c r="G94" t="s">
        <v>282</v>
      </c>
      <c r="H94"/>
      <c r="I94"/>
    </row>
    <row r="95" spans="1:9" s="13" customFormat="1" ht="15" customHeight="1" x14ac:dyDescent="0.3">
      <c r="A95" t="s">
        <v>316</v>
      </c>
      <c r="B95" t="s">
        <v>122</v>
      </c>
      <c r="C95">
        <v>7438426</v>
      </c>
      <c r="D95">
        <v>101203051</v>
      </c>
      <c r="E95" t="s">
        <v>317</v>
      </c>
      <c r="F95" t="s">
        <v>135</v>
      </c>
      <c r="G95" t="s">
        <v>282</v>
      </c>
      <c r="H95"/>
      <c r="I95"/>
    </row>
    <row r="96" spans="1:9" s="13" customFormat="1" ht="15" customHeight="1" x14ac:dyDescent="0.3">
      <c r="A96" t="s">
        <v>318</v>
      </c>
      <c r="B96" t="s">
        <v>122</v>
      </c>
      <c r="C96">
        <v>7438426</v>
      </c>
      <c r="D96">
        <v>101359430</v>
      </c>
      <c r="E96" t="s">
        <v>319</v>
      </c>
      <c r="F96" t="s">
        <v>135</v>
      </c>
      <c r="G96" t="s">
        <v>282</v>
      </c>
      <c r="H96"/>
      <c r="I96"/>
    </row>
    <row r="97" spans="1:13" s="13" customFormat="1" ht="15" customHeight="1" x14ac:dyDescent="0.3">
      <c r="A97" t="s">
        <v>320</v>
      </c>
      <c r="B97" t="s">
        <v>122</v>
      </c>
      <c r="C97">
        <v>7438426</v>
      </c>
      <c r="D97">
        <v>101203050</v>
      </c>
      <c r="E97" t="s">
        <v>321</v>
      </c>
      <c r="F97" t="s">
        <v>135</v>
      </c>
      <c r="G97" t="s">
        <v>282</v>
      </c>
      <c r="H97"/>
      <c r="I97"/>
    </row>
    <row r="98" spans="1:13" s="13" customFormat="1" ht="15" customHeight="1" x14ac:dyDescent="0.3">
      <c r="A98" t="s">
        <v>322</v>
      </c>
      <c r="B98" t="s">
        <v>122</v>
      </c>
      <c r="C98">
        <v>7438426</v>
      </c>
      <c r="D98">
        <v>101203052</v>
      </c>
      <c r="E98" t="s">
        <v>323</v>
      </c>
      <c r="F98" t="s">
        <v>135</v>
      </c>
      <c r="G98" t="s">
        <v>282</v>
      </c>
      <c r="H98"/>
      <c r="I98"/>
    </row>
    <row r="99" spans="1:13" s="13" customFormat="1" ht="15" customHeight="1" x14ac:dyDescent="0.3">
      <c r="A99" t="s">
        <v>324</v>
      </c>
      <c r="B99" t="s">
        <v>122</v>
      </c>
      <c r="C99">
        <v>7438426</v>
      </c>
      <c r="D99">
        <v>101334559</v>
      </c>
      <c r="E99" t="s">
        <v>325</v>
      </c>
      <c r="F99" t="s">
        <v>135</v>
      </c>
      <c r="G99" t="s">
        <v>282</v>
      </c>
      <c r="H99"/>
      <c r="I99"/>
    </row>
    <row r="100" spans="1:13" s="13" customFormat="1" ht="15" customHeight="1" x14ac:dyDescent="0.3">
      <c r="A100" t="s">
        <v>326</v>
      </c>
      <c r="B100" t="s">
        <v>122</v>
      </c>
      <c r="C100">
        <v>7438426</v>
      </c>
      <c r="D100">
        <v>101334358</v>
      </c>
      <c r="E100" t="s">
        <v>327</v>
      </c>
      <c r="F100" t="s">
        <v>135</v>
      </c>
      <c r="G100" t="s">
        <v>282</v>
      </c>
      <c r="H100"/>
      <c r="I100"/>
    </row>
    <row r="101" spans="1:13" s="13" customFormat="1" ht="15" customHeight="1" x14ac:dyDescent="0.3">
      <c r="A101" t="s">
        <v>328</v>
      </c>
      <c r="B101" t="s">
        <v>122</v>
      </c>
      <c r="C101">
        <v>7438426</v>
      </c>
      <c r="D101">
        <v>101334562</v>
      </c>
      <c r="E101" t="s">
        <v>329</v>
      </c>
      <c r="F101" t="s">
        <v>135</v>
      </c>
      <c r="G101" t="s">
        <v>282</v>
      </c>
      <c r="H101"/>
      <c r="I101"/>
    </row>
    <row r="102" spans="1:13" s="13" customFormat="1" ht="15" customHeight="1" x14ac:dyDescent="0.3">
      <c r="A102" t="s">
        <v>330</v>
      </c>
      <c r="B102" t="s">
        <v>122</v>
      </c>
      <c r="C102">
        <v>7438426</v>
      </c>
      <c r="D102">
        <v>101334566</v>
      </c>
      <c r="E102" t="s">
        <v>331</v>
      </c>
      <c r="F102" t="s">
        <v>135</v>
      </c>
      <c r="G102" t="s">
        <v>282</v>
      </c>
      <c r="H102"/>
      <c r="I102"/>
    </row>
    <row r="103" spans="1:13" s="13" customFormat="1" ht="15" customHeight="1" x14ac:dyDescent="0.3">
      <c r="A103" t="s">
        <v>332</v>
      </c>
      <c r="B103" t="s">
        <v>122</v>
      </c>
      <c r="C103">
        <v>7438426</v>
      </c>
      <c r="D103">
        <v>101359431</v>
      </c>
      <c r="E103" t="s">
        <v>333</v>
      </c>
      <c r="F103" t="s">
        <v>135</v>
      </c>
      <c r="G103" t="s">
        <v>282</v>
      </c>
      <c r="H103"/>
      <c r="I103"/>
    </row>
    <row r="104" spans="1:13" s="13" customFormat="1" ht="15" customHeight="1" x14ac:dyDescent="0.3">
      <c r="A104" t="s">
        <v>334</v>
      </c>
      <c r="B104" t="s">
        <v>122</v>
      </c>
      <c r="C104">
        <v>7438426</v>
      </c>
      <c r="D104">
        <v>101203053</v>
      </c>
      <c r="E104" t="s">
        <v>335</v>
      </c>
      <c r="F104" t="s">
        <v>135</v>
      </c>
      <c r="G104" t="s">
        <v>282</v>
      </c>
      <c r="H104"/>
      <c r="I104"/>
    </row>
    <row r="105" spans="1:13" s="13" customFormat="1" ht="15" customHeight="1" x14ac:dyDescent="0.3">
      <c r="A105" t="s">
        <v>336</v>
      </c>
      <c r="B105" t="s">
        <v>122</v>
      </c>
      <c r="C105">
        <v>7438426</v>
      </c>
      <c r="D105">
        <v>101081268</v>
      </c>
      <c r="E105" t="s">
        <v>337</v>
      </c>
      <c r="F105" t="s">
        <v>135</v>
      </c>
      <c r="G105" t="s">
        <v>282</v>
      </c>
      <c r="H105"/>
      <c r="I105"/>
    </row>
    <row r="106" spans="1:13" s="13" customFormat="1" ht="15" customHeight="1" x14ac:dyDescent="0.3">
      <c r="A106" t="s">
        <v>338</v>
      </c>
      <c r="B106" t="s">
        <v>122</v>
      </c>
      <c r="C106">
        <v>7438426</v>
      </c>
      <c r="D106">
        <v>101334564</v>
      </c>
      <c r="E106" t="s">
        <v>339</v>
      </c>
      <c r="F106" t="s">
        <v>135</v>
      </c>
      <c r="G106" t="s">
        <v>282</v>
      </c>
      <c r="H106"/>
      <c r="I106"/>
    </row>
    <row r="107" spans="1:13" s="13" customFormat="1" ht="15" customHeight="1" x14ac:dyDescent="0.3">
      <c r="A107" t="s">
        <v>340</v>
      </c>
      <c r="B107" t="s">
        <v>122</v>
      </c>
      <c r="C107">
        <v>7438426</v>
      </c>
      <c r="D107">
        <v>101359432</v>
      </c>
      <c r="E107" t="s">
        <v>341</v>
      </c>
      <c r="F107" t="s">
        <v>135</v>
      </c>
      <c r="G107" t="s">
        <v>282</v>
      </c>
      <c r="H107"/>
      <c r="I107"/>
    </row>
    <row r="108" spans="1:13" s="13" customFormat="1" ht="15" customHeight="1" x14ac:dyDescent="0.3">
      <c r="A108" t="s">
        <v>342</v>
      </c>
      <c r="B108" t="s">
        <v>122</v>
      </c>
      <c r="C108">
        <v>7438426</v>
      </c>
      <c r="D108">
        <v>101244649</v>
      </c>
      <c r="E108" t="s">
        <v>343</v>
      </c>
      <c r="F108" t="s">
        <v>135</v>
      </c>
      <c r="G108" t="s">
        <v>282</v>
      </c>
      <c r="H108"/>
      <c r="I108"/>
    </row>
    <row r="109" spans="1:13" s="13" customFormat="1" ht="15" customHeight="1" x14ac:dyDescent="0.3">
      <c r="A109" t="s">
        <v>457</v>
      </c>
      <c r="B109" t="s">
        <v>122</v>
      </c>
      <c r="C109">
        <v>7438426</v>
      </c>
      <c r="D109">
        <v>101377144</v>
      </c>
      <c r="E109" t="s">
        <v>458</v>
      </c>
      <c r="F109"/>
      <c r="G109" t="s">
        <v>282</v>
      </c>
      <c r="H109"/>
      <c r="I109"/>
      <c r="J109"/>
      <c r="K109"/>
      <c r="L109"/>
      <c r="M109"/>
    </row>
    <row r="110" spans="1:13" s="13" customFormat="1" ht="15" customHeight="1" x14ac:dyDescent="0.3">
      <c r="A110" t="s">
        <v>835</v>
      </c>
      <c r="B110" t="s">
        <v>836</v>
      </c>
      <c r="C110">
        <v>532258</v>
      </c>
      <c r="D110">
        <v>100922151</v>
      </c>
      <c r="E110" t="s">
        <v>837</v>
      </c>
      <c r="F110" t="s">
        <v>135</v>
      </c>
      <c r="G110" t="s">
        <v>838</v>
      </c>
      <c r="H110"/>
      <c r="I110" t="s">
        <v>1084</v>
      </c>
      <c r="J110" t="s">
        <v>1107</v>
      </c>
      <c r="K110"/>
      <c r="L110"/>
      <c r="M110"/>
    </row>
    <row r="111" spans="1:13" s="13" customFormat="1" ht="15" customHeight="1" x14ac:dyDescent="0.3">
      <c r="A111" t="s">
        <v>839</v>
      </c>
      <c r="B111" t="s">
        <v>836</v>
      </c>
      <c r="C111">
        <v>532258</v>
      </c>
      <c r="D111">
        <v>101131390</v>
      </c>
      <c r="E111" t="s">
        <v>840</v>
      </c>
      <c r="F111" t="s">
        <v>841</v>
      </c>
      <c r="G111" t="s">
        <v>838</v>
      </c>
      <c r="H111"/>
      <c r="I111" t="s">
        <v>1108</v>
      </c>
      <c r="J111" t="s">
        <v>1109</v>
      </c>
      <c r="K111"/>
      <c r="L111"/>
      <c r="M111"/>
    </row>
    <row r="112" spans="1:13" s="13" customFormat="1" ht="15" customHeight="1" x14ac:dyDescent="0.3">
      <c r="A112" t="s">
        <v>842</v>
      </c>
      <c r="B112" t="s">
        <v>836</v>
      </c>
      <c r="C112">
        <v>532258</v>
      </c>
      <c r="D112">
        <v>100951464</v>
      </c>
      <c r="E112" t="s">
        <v>843</v>
      </c>
      <c r="F112" t="s">
        <v>135</v>
      </c>
      <c r="G112" t="s">
        <v>838</v>
      </c>
      <c r="H112"/>
      <c r="I112" t="s">
        <v>1110</v>
      </c>
      <c r="J112" t="s">
        <v>1109</v>
      </c>
      <c r="K112"/>
      <c r="L112"/>
      <c r="M112"/>
    </row>
    <row r="113" spans="1:13" s="13" customFormat="1" ht="15" customHeight="1" x14ac:dyDescent="0.3">
      <c r="A113" t="s">
        <v>844</v>
      </c>
      <c r="B113" t="s">
        <v>836</v>
      </c>
      <c r="C113">
        <v>532258</v>
      </c>
      <c r="D113">
        <v>100922152</v>
      </c>
      <c r="E113" t="s">
        <v>845</v>
      </c>
      <c r="F113" t="s">
        <v>135</v>
      </c>
      <c r="G113" t="s">
        <v>838</v>
      </c>
      <c r="H113"/>
      <c r="I113" t="s">
        <v>1111</v>
      </c>
      <c r="J113" t="s">
        <v>1112</v>
      </c>
      <c r="K113"/>
      <c r="L113"/>
      <c r="M113"/>
    </row>
    <row r="114" spans="1:13" s="13" customFormat="1" ht="15" customHeight="1" x14ac:dyDescent="0.3">
      <c r="A114" t="s">
        <v>846</v>
      </c>
      <c r="B114" t="s">
        <v>836</v>
      </c>
      <c r="C114">
        <v>532258</v>
      </c>
      <c r="D114">
        <v>100991351</v>
      </c>
      <c r="E114" t="s">
        <v>847</v>
      </c>
      <c r="F114" t="s">
        <v>135</v>
      </c>
      <c r="G114" t="s">
        <v>838</v>
      </c>
      <c r="H114"/>
      <c r="I114" t="s">
        <v>1113</v>
      </c>
      <c r="J114" t="s">
        <v>1114</v>
      </c>
      <c r="K114"/>
      <c r="L114"/>
      <c r="M114"/>
    </row>
    <row r="115" spans="1:13" s="13" customFormat="1" ht="15" customHeight="1" x14ac:dyDescent="0.3">
      <c r="A115" t="s">
        <v>848</v>
      </c>
      <c r="B115" t="s">
        <v>836</v>
      </c>
      <c r="C115">
        <v>532258</v>
      </c>
      <c r="D115">
        <v>100922155</v>
      </c>
      <c r="E115" t="s">
        <v>849</v>
      </c>
      <c r="F115" t="s">
        <v>850</v>
      </c>
      <c r="G115" t="s">
        <v>838</v>
      </c>
      <c r="H115"/>
      <c r="I115" t="s">
        <v>1115</v>
      </c>
      <c r="J115" t="s">
        <v>1116</v>
      </c>
      <c r="K115"/>
      <c r="L115"/>
      <c r="M115"/>
    </row>
    <row r="116" spans="1:13" s="13" customFormat="1" ht="15" customHeight="1" x14ac:dyDescent="0.3">
      <c r="A116" t="s">
        <v>851</v>
      </c>
      <c r="B116" t="s">
        <v>836</v>
      </c>
      <c r="C116">
        <v>532258</v>
      </c>
      <c r="D116">
        <v>100922150</v>
      </c>
      <c r="E116" t="s">
        <v>852</v>
      </c>
      <c r="F116" t="s">
        <v>853</v>
      </c>
      <c r="G116" t="s">
        <v>838</v>
      </c>
      <c r="H116"/>
      <c r="I116" t="s">
        <v>1117</v>
      </c>
      <c r="J116" t="s">
        <v>1118</v>
      </c>
      <c r="K116"/>
      <c r="L116"/>
      <c r="M116"/>
    </row>
    <row r="117" spans="1:13" s="13" customFormat="1" ht="15" customHeight="1" x14ac:dyDescent="0.3">
      <c r="A117" t="s">
        <v>854</v>
      </c>
      <c r="B117" t="s">
        <v>836</v>
      </c>
      <c r="C117">
        <v>532258</v>
      </c>
      <c r="D117">
        <v>101237564</v>
      </c>
      <c r="E117" t="s">
        <v>855</v>
      </c>
      <c r="F117" t="s">
        <v>856</v>
      </c>
      <c r="G117" t="s">
        <v>838</v>
      </c>
      <c r="H117"/>
      <c r="I117" t="s">
        <v>1119</v>
      </c>
      <c r="J117" t="s">
        <v>1120</v>
      </c>
      <c r="K117"/>
      <c r="L117"/>
      <c r="M117"/>
    </row>
    <row r="118" spans="1:13" s="13" customFormat="1" ht="15" customHeight="1" x14ac:dyDescent="0.3">
      <c r="A118" t="s">
        <v>857</v>
      </c>
      <c r="B118" t="s">
        <v>836</v>
      </c>
      <c r="C118">
        <v>532258</v>
      </c>
      <c r="D118">
        <v>100922153</v>
      </c>
      <c r="E118" t="s">
        <v>858</v>
      </c>
      <c r="F118" t="s">
        <v>135</v>
      </c>
      <c r="G118" t="s">
        <v>838</v>
      </c>
      <c r="H118"/>
      <c r="I118" t="s">
        <v>1121</v>
      </c>
      <c r="J118" t="s">
        <v>1122</v>
      </c>
      <c r="K118"/>
      <c r="L118"/>
      <c r="M118"/>
    </row>
    <row r="119" spans="1:13" s="13" customFormat="1" ht="15" customHeight="1" x14ac:dyDescent="0.3">
      <c r="A119" t="s">
        <v>859</v>
      </c>
      <c r="B119" t="s">
        <v>836</v>
      </c>
      <c r="C119">
        <v>532258</v>
      </c>
      <c r="D119">
        <v>100922154</v>
      </c>
      <c r="E119" t="s">
        <v>860</v>
      </c>
      <c r="F119" t="s">
        <v>135</v>
      </c>
      <c r="G119" t="s">
        <v>838</v>
      </c>
      <c r="H119"/>
      <c r="I119" t="s">
        <v>1123</v>
      </c>
      <c r="J119" t="s">
        <v>1124</v>
      </c>
      <c r="K119"/>
      <c r="L119"/>
      <c r="M119"/>
    </row>
    <row r="120" spans="1:13" s="13" customFormat="1" ht="15" customHeight="1" x14ac:dyDescent="0.3">
      <c r="A120" s="13" t="s">
        <v>110</v>
      </c>
      <c r="B120" s="13" t="s">
        <v>111</v>
      </c>
      <c r="C120" s="13">
        <v>7493671</v>
      </c>
      <c r="D120" s="13">
        <v>101340263</v>
      </c>
      <c r="E120"/>
      <c r="F120"/>
      <c r="G120"/>
      <c r="H120"/>
      <c r="I120"/>
    </row>
    <row r="121" spans="1:13" s="13" customFormat="1" ht="15" customHeight="1" x14ac:dyDescent="0.3">
      <c r="A121" s="13" t="s">
        <v>75</v>
      </c>
      <c r="B121" s="13" t="s">
        <v>76</v>
      </c>
      <c r="C121" s="13">
        <v>522371</v>
      </c>
      <c r="D121" s="13">
        <v>101328098</v>
      </c>
      <c r="E121"/>
      <c r="F121"/>
      <c r="G121"/>
      <c r="H121"/>
      <c r="I121"/>
    </row>
    <row r="122" spans="1:13" s="13" customFormat="1" ht="15" customHeight="1" x14ac:dyDescent="0.3">
      <c r="A122" s="13" t="s">
        <v>77</v>
      </c>
      <c r="B122" s="13" t="s">
        <v>76</v>
      </c>
      <c r="C122" s="13">
        <v>522371</v>
      </c>
      <c r="D122" s="13">
        <v>101328100</v>
      </c>
      <c r="E122"/>
      <c r="F122"/>
      <c r="G122"/>
      <c r="H122"/>
      <c r="I122"/>
    </row>
    <row r="123" spans="1:13" s="13" customFormat="1" ht="15" customHeight="1" x14ac:dyDescent="0.3">
      <c r="A123" s="13" t="s">
        <v>78</v>
      </c>
      <c r="B123" s="13" t="s">
        <v>76</v>
      </c>
      <c r="C123" s="13">
        <v>522371</v>
      </c>
      <c r="D123" s="13">
        <v>101328102</v>
      </c>
      <c r="E123"/>
      <c r="F123"/>
      <c r="G123"/>
      <c r="H123"/>
      <c r="I123"/>
    </row>
    <row r="124" spans="1:13" s="13" customFormat="1" ht="15" customHeight="1" x14ac:dyDescent="0.3">
      <c r="A124" t="s">
        <v>932</v>
      </c>
      <c r="B124" t="s">
        <v>933</v>
      </c>
      <c r="C124">
        <v>502003</v>
      </c>
      <c r="D124">
        <v>101053635</v>
      </c>
      <c r="E124" t="s">
        <v>934</v>
      </c>
      <c r="F124" t="s">
        <v>135</v>
      </c>
      <c r="G124" t="s">
        <v>935</v>
      </c>
      <c r="H124" t="s">
        <v>1180</v>
      </c>
      <c r="I124" t="s">
        <v>1181</v>
      </c>
      <c r="J124"/>
      <c r="K124"/>
      <c r="L124"/>
      <c r="M124"/>
    </row>
    <row r="125" spans="1:13" s="13" customFormat="1" ht="15" customHeight="1" x14ac:dyDescent="0.3">
      <c r="A125" t="s">
        <v>936</v>
      </c>
      <c r="B125" t="s">
        <v>933</v>
      </c>
      <c r="C125">
        <v>502003</v>
      </c>
      <c r="D125">
        <v>101020294</v>
      </c>
      <c r="E125" t="s">
        <v>937</v>
      </c>
      <c r="F125" t="s">
        <v>135</v>
      </c>
      <c r="G125" t="s">
        <v>935</v>
      </c>
      <c r="H125" t="s">
        <v>1182</v>
      </c>
      <c r="I125" t="s">
        <v>1183</v>
      </c>
      <c r="J125"/>
      <c r="K125"/>
      <c r="L125"/>
      <c r="M125"/>
    </row>
    <row r="126" spans="1:13" s="13" customFormat="1" ht="15" customHeight="1" x14ac:dyDescent="0.3">
      <c r="A126" t="s">
        <v>938</v>
      </c>
      <c r="B126" t="s">
        <v>933</v>
      </c>
      <c r="C126">
        <v>502003</v>
      </c>
      <c r="D126">
        <v>101130436</v>
      </c>
      <c r="E126" t="s">
        <v>939</v>
      </c>
      <c r="F126" t="s">
        <v>135</v>
      </c>
      <c r="G126" t="s">
        <v>935</v>
      </c>
      <c r="H126" t="s">
        <v>1184</v>
      </c>
      <c r="I126" t="s">
        <v>1183</v>
      </c>
      <c r="J126"/>
      <c r="K126"/>
      <c r="L126"/>
      <c r="M126"/>
    </row>
    <row r="127" spans="1:13" s="13" customFormat="1" ht="15" customHeight="1" x14ac:dyDescent="0.3">
      <c r="A127" t="s">
        <v>940</v>
      </c>
      <c r="B127" t="s">
        <v>933</v>
      </c>
      <c r="C127">
        <v>502003</v>
      </c>
      <c r="D127">
        <v>100895838</v>
      </c>
      <c r="E127" t="s">
        <v>941</v>
      </c>
      <c r="F127" t="s">
        <v>135</v>
      </c>
      <c r="G127" t="s">
        <v>935</v>
      </c>
      <c r="H127" t="s">
        <v>1185</v>
      </c>
      <c r="I127" t="s">
        <v>933</v>
      </c>
      <c r="J127"/>
      <c r="K127"/>
      <c r="L127"/>
      <c r="M127"/>
    </row>
    <row r="128" spans="1:13" s="13" customFormat="1" ht="15" customHeight="1" x14ac:dyDescent="0.3">
      <c r="A128" t="s">
        <v>942</v>
      </c>
      <c r="B128" t="s">
        <v>933</v>
      </c>
      <c r="C128">
        <v>502003</v>
      </c>
      <c r="D128">
        <v>101080481</v>
      </c>
      <c r="E128" t="s">
        <v>943</v>
      </c>
      <c r="F128" t="s">
        <v>135</v>
      </c>
      <c r="G128" t="s">
        <v>935</v>
      </c>
      <c r="H128" t="s">
        <v>1097</v>
      </c>
      <c r="I128" t="s">
        <v>1186</v>
      </c>
      <c r="J128"/>
      <c r="K128"/>
      <c r="L128"/>
      <c r="M128"/>
    </row>
    <row r="129" spans="1:13" s="13" customFormat="1" ht="15" customHeight="1" x14ac:dyDescent="0.3">
      <c r="A129" t="s">
        <v>944</v>
      </c>
      <c r="B129" t="s">
        <v>933</v>
      </c>
      <c r="C129">
        <v>502003</v>
      </c>
      <c r="D129">
        <v>101288347</v>
      </c>
      <c r="E129" t="s">
        <v>945</v>
      </c>
      <c r="F129" t="s">
        <v>135</v>
      </c>
      <c r="G129" t="s">
        <v>935</v>
      </c>
      <c r="H129" t="s">
        <v>1187</v>
      </c>
      <c r="I129" t="s">
        <v>1188</v>
      </c>
      <c r="J129"/>
      <c r="K129"/>
      <c r="L129"/>
      <c r="M129"/>
    </row>
    <row r="130" spans="1:13" s="13" customFormat="1" ht="15" customHeight="1" x14ac:dyDescent="0.3">
      <c r="A130" t="s">
        <v>946</v>
      </c>
      <c r="B130" t="s">
        <v>933</v>
      </c>
      <c r="C130">
        <v>502003</v>
      </c>
      <c r="D130">
        <v>101235176</v>
      </c>
      <c r="E130" t="s">
        <v>947</v>
      </c>
      <c r="F130" t="s">
        <v>135</v>
      </c>
      <c r="G130" t="s">
        <v>935</v>
      </c>
      <c r="H130" t="s">
        <v>1189</v>
      </c>
      <c r="I130" t="s">
        <v>1190</v>
      </c>
      <c r="J130"/>
      <c r="K130"/>
      <c r="L130"/>
      <c r="M130"/>
    </row>
    <row r="131" spans="1:13" s="13" customFormat="1" ht="15" customHeight="1" x14ac:dyDescent="0.3">
      <c r="A131" t="s">
        <v>948</v>
      </c>
      <c r="B131" t="s">
        <v>933</v>
      </c>
      <c r="C131">
        <v>502003</v>
      </c>
      <c r="D131">
        <v>101320270</v>
      </c>
      <c r="E131" t="s">
        <v>949</v>
      </c>
      <c r="F131" t="s">
        <v>135</v>
      </c>
      <c r="G131" t="s">
        <v>935</v>
      </c>
      <c r="H131" t="s">
        <v>1191</v>
      </c>
      <c r="I131" t="s">
        <v>1192</v>
      </c>
      <c r="J131"/>
      <c r="K131"/>
      <c r="L131"/>
      <c r="M131"/>
    </row>
    <row r="132" spans="1:13" s="13" customFormat="1" ht="15" customHeight="1" x14ac:dyDescent="0.3">
      <c r="A132" t="s">
        <v>950</v>
      </c>
      <c r="B132" t="s">
        <v>933</v>
      </c>
      <c r="C132">
        <v>502003</v>
      </c>
      <c r="D132">
        <v>101110815</v>
      </c>
      <c r="E132" t="s">
        <v>951</v>
      </c>
      <c r="F132" t="s">
        <v>135</v>
      </c>
      <c r="G132" t="s">
        <v>935</v>
      </c>
      <c r="H132" t="s">
        <v>1162</v>
      </c>
      <c r="I132" t="s">
        <v>1193</v>
      </c>
      <c r="J132"/>
      <c r="K132"/>
      <c r="L132"/>
      <c r="M132"/>
    </row>
    <row r="133" spans="1:13" s="13" customFormat="1" ht="15" customHeight="1" x14ac:dyDescent="0.3">
      <c r="A133" t="s">
        <v>952</v>
      </c>
      <c r="B133" t="s">
        <v>933</v>
      </c>
      <c r="C133">
        <v>502003</v>
      </c>
      <c r="D133">
        <v>101320594</v>
      </c>
      <c r="E133" t="s">
        <v>953</v>
      </c>
      <c r="F133" t="s">
        <v>135</v>
      </c>
      <c r="G133" t="s">
        <v>935</v>
      </c>
      <c r="H133" t="s">
        <v>1194</v>
      </c>
      <c r="I133" t="s">
        <v>1195</v>
      </c>
      <c r="J133"/>
      <c r="K133"/>
      <c r="L133"/>
      <c r="M133"/>
    </row>
    <row r="134" spans="1:13" s="13" customFormat="1" ht="15" customHeight="1" x14ac:dyDescent="0.3">
      <c r="A134" t="s">
        <v>954</v>
      </c>
      <c r="B134" t="s">
        <v>933</v>
      </c>
      <c r="C134">
        <v>502003</v>
      </c>
      <c r="D134">
        <v>101059582</v>
      </c>
      <c r="E134" t="s">
        <v>955</v>
      </c>
      <c r="F134" t="s">
        <v>956</v>
      </c>
      <c r="G134" t="s">
        <v>935</v>
      </c>
      <c r="H134" t="s">
        <v>1196</v>
      </c>
      <c r="I134" t="s">
        <v>1197</v>
      </c>
      <c r="J134"/>
      <c r="K134"/>
      <c r="L134"/>
      <c r="M134"/>
    </row>
    <row r="135" spans="1:13" s="13" customFormat="1" ht="15" customHeight="1" x14ac:dyDescent="0.3">
      <c r="A135" t="s">
        <v>957</v>
      </c>
      <c r="B135" t="s">
        <v>933</v>
      </c>
      <c r="C135">
        <v>502003</v>
      </c>
      <c r="D135">
        <v>101110816</v>
      </c>
      <c r="E135" t="s">
        <v>958</v>
      </c>
      <c r="F135" t="s">
        <v>135</v>
      </c>
      <c r="G135" t="s">
        <v>935</v>
      </c>
      <c r="H135" t="s">
        <v>1198</v>
      </c>
      <c r="I135" t="s">
        <v>1199</v>
      </c>
      <c r="J135"/>
      <c r="K135"/>
      <c r="L135"/>
      <c r="M135"/>
    </row>
    <row r="136" spans="1:13" s="13" customFormat="1" ht="15" customHeight="1" x14ac:dyDescent="0.3">
      <c r="A136" t="s">
        <v>959</v>
      </c>
      <c r="B136" t="s">
        <v>933</v>
      </c>
      <c r="C136">
        <v>502003</v>
      </c>
      <c r="D136">
        <v>101021471</v>
      </c>
      <c r="E136" t="s">
        <v>960</v>
      </c>
      <c r="F136" t="s">
        <v>135</v>
      </c>
      <c r="G136" t="s">
        <v>935</v>
      </c>
      <c r="H136" t="s">
        <v>1200</v>
      </c>
      <c r="I136" t="s">
        <v>1199</v>
      </c>
      <c r="J136"/>
      <c r="K136"/>
      <c r="L136"/>
      <c r="M136"/>
    </row>
    <row r="137" spans="1:13" s="13" customFormat="1" ht="15" customHeight="1" x14ac:dyDescent="0.3">
      <c r="A137" t="s">
        <v>961</v>
      </c>
      <c r="B137" t="s">
        <v>933</v>
      </c>
      <c r="C137">
        <v>502003</v>
      </c>
      <c r="D137">
        <v>101113239</v>
      </c>
      <c r="E137" t="s">
        <v>962</v>
      </c>
      <c r="F137" t="s">
        <v>963</v>
      </c>
      <c r="G137" t="s">
        <v>935</v>
      </c>
      <c r="H137" t="s">
        <v>1115</v>
      </c>
      <c r="I137" t="s">
        <v>1201</v>
      </c>
      <c r="J137"/>
      <c r="K137"/>
      <c r="L137"/>
      <c r="M137"/>
    </row>
    <row r="138" spans="1:13" s="13" customFormat="1" ht="15" customHeight="1" x14ac:dyDescent="0.3">
      <c r="A138" t="s">
        <v>964</v>
      </c>
      <c r="B138" t="s">
        <v>933</v>
      </c>
      <c r="C138">
        <v>502003</v>
      </c>
      <c r="D138">
        <v>101188836</v>
      </c>
      <c r="E138" t="s">
        <v>965</v>
      </c>
      <c r="F138" t="s">
        <v>966</v>
      </c>
      <c r="G138" t="s">
        <v>935</v>
      </c>
      <c r="H138" t="s">
        <v>1202</v>
      </c>
      <c r="I138" t="s">
        <v>1203</v>
      </c>
      <c r="J138"/>
      <c r="K138"/>
      <c r="L138"/>
      <c r="M138"/>
    </row>
    <row r="139" spans="1:13" s="13" customFormat="1" ht="15" customHeight="1" x14ac:dyDescent="0.3">
      <c r="A139" t="s">
        <v>967</v>
      </c>
      <c r="B139" t="s">
        <v>933</v>
      </c>
      <c r="C139">
        <v>502003</v>
      </c>
      <c r="D139">
        <v>100961728</v>
      </c>
      <c r="E139" t="s">
        <v>934</v>
      </c>
      <c r="F139" t="s">
        <v>135</v>
      </c>
      <c r="G139" t="s">
        <v>935</v>
      </c>
      <c r="H139" t="s">
        <v>1110</v>
      </c>
      <c r="I139" t="s">
        <v>1204</v>
      </c>
      <c r="J139"/>
      <c r="K139"/>
      <c r="L139"/>
      <c r="M139"/>
    </row>
    <row r="140" spans="1:13" s="13" customFormat="1" ht="15" customHeight="1" x14ac:dyDescent="0.3">
      <c r="A140" t="s">
        <v>968</v>
      </c>
      <c r="B140" t="s">
        <v>933</v>
      </c>
      <c r="C140">
        <v>502003</v>
      </c>
      <c r="D140">
        <v>101091756</v>
      </c>
      <c r="E140" t="s">
        <v>969</v>
      </c>
      <c r="F140" t="s">
        <v>135</v>
      </c>
      <c r="G140" t="s">
        <v>935</v>
      </c>
      <c r="H140" t="s">
        <v>135</v>
      </c>
      <c r="I140" t="s">
        <v>135</v>
      </c>
      <c r="J140"/>
      <c r="K140"/>
      <c r="L140"/>
      <c r="M140"/>
    </row>
    <row r="141" spans="1:13" s="13" customFormat="1" ht="15" customHeight="1" x14ac:dyDescent="0.3">
      <c r="A141" t="s">
        <v>970</v>
      </c>
      <c r="B141" t="s">
        <v>933</v>
      </c>
      <c r="C141">
        <v>502003</v>
      </c>
      <c r="D141">
        <v>101321224</v>
      </c>
      <c r="E141" t="s">
        <v>971</v>
      </c>
      <c r="F141" t="s">
        <v>135</v>
      </c>
      <c r="G141" t="s">
        <v>935</v>
      </c>
      <c r="H141" t="s">
        <v>1205</v>
      </c>
      <c r="I141" t="s">
        <v>1206</v>
      </c>
      <c r="J141"/>
      <c r="K141"/>
      <c r="L141"/>
      <c r="M141"/>
    </row>
    <row r="142" spans="1:13" s="13" customFormat="1" ht="15" customHeight="1" x14ac:dyDescent="0.3">
      <c r="A142" t="s">
        <v>972</v>
      </c>
      <c r="B142" t="s">
        <v>933</v>
      </c>
      <c r="C142">
        <v>502003</v>
      </c>
      <c r="D142">
        <v>101008450</v>
      </c>
      <c r="E142" t="s">
        <v>973</v>
      </c>
      <c r="F142" t="s">
        <v>974</v>
      </c>
      <c r="G142" t="s">
        <v>935</v>
      </c>
      <c r="H142" t="s">
        <v>1089</v>
      </c>
      <c r="I142" t="s">
        <v>1207</v>
      </c>
      <c r="J142"/>
      <c r="K142"/>
      <c r="L142"/>
      <c r="M142"/>
    </row>
    <row r="143" spans="1:13" s="13" customFormat="1" ht="15" customHeight="1" x14ac:dyDescent="0.3">
      <c r="A143" t="s">
        <v>975</v>
      </c>
      <c r="B143" t="s">
        <v>933</v>
      </c>
      <c r="C143">
        <v>502003</v>
      </c>
      <c r="D143">
        <v>101321146</v>
      </c>
      <c r="E143" t="s">
        <v>976</v>
      </c>
      <c r="F143" t="s">
        <v>135</v>
      </c>
      <c r="G143" t="s">
        <v>935</v>
      </c>
      <c r="H143" t="s">
        <v>1208</v>
      </c>
      <c r="I143" t="s">
        <v>1209</v>
      </c>
      <c r="J143"/>
      <c r="K143"/>
      <c r="L143"/>
      <c r="M143"/>
    </row>
    <row r="144" spans="1:13" s="13" customFormat="1" ht="15" customHeight="1" x14ac:dyDescent="0.3">
      <c r="A144" t="s">
        <v>977</v>
      </c>
      <c r="B144" t="s">
        <v>933</v>
      </c>
      <c r="C144">
        <v>502003</v>
      </c>
      <c r="D144">
        <v>101028892</v>
      </c>
      <c r="E144" t="s">
        <v>978</v>
      </c>
      <c r="F144" t="s">
        <v>135</v>
      </c>
      <c r="G144" t="s">
        <v>935</v>
      </c>
      <c r="H144" t="s">
        <v>18</v>
      </c>
      <c r="I144" t="s">
        <v>1210</v>
      </c>
      <c r="J144"/>
      <c r="K144"/>
      <c r="L144"/>
      <c r="M144"/>
    </row>
    <row r="145" spans="1:13" s="13" customFormat="1" ht="15" customHeight="1" x14ac:dyDescent="0.3">
      <c r="A145" t="s">
        <v>979</v>
      </c>
      <c r="B145" t="s">
        <v>933</v>
      </c>
      <c r="C145">
        <v>502003</v>
      </c>
      <c r="D145">
        <v>101275144</v>
      </c>
      <c r="E145" t="s">
        <v>980</v>
      </c>
      <c r="F145" t="s">
        <v>135</v>
      </c>
      <c r="G145" t="s">
        <v>935</v>
      </c>
      <c r="H145" t="s">
        <v>1211</v>
      </c>
      <c r="I145" t="s">
        <v>1212</v>
      </c>
      <c r="J145"/>
      <c r="K145"/>
      <c r="L145"/>
      <c r="M145"/>
    </row>
    <row r="146" spans="1:13" s="13" customFormat="1" ht="15" customHeight="1" x14ac:dyDescent="0.3">
      <c r="A146" t="s">
        <v>981</v>
      </c>
      <c r="B146" t="s">
        <v>933</v>
      </c>
      <c r="C146">
        <v>502003</v>
      </c>
      <c r="D146">
        <v>101320663</v>
      </c>
      <c r="E146" t="s">
        <v>982</v>
      </c>
      <c r="F146" t="s">
        <v>135</v>
      </c>
      <c r="G146" t="s">
        <v>935</v>
      </c>
      <c r="H146" t="s">
        <v>1146</v>
      </c>
      <c r="I146" t="s">
        <v>1213</v>
      </c>
      <c r="J146"/>
      <c r="K146"/>
      <c r="L146"/>
      <c r="M146"/>
    </row>
    <row r="147" spans="1:13" s="13" customFormat="1" ht="15" customHeight="1" x14ac:dyDescent="0.3">
      <c r="A147" t="s">
        <v>983</v>
      </c>
      <c r="B147" t="s">
        <v>933</v>
      </c>
      <c r="C147">
        <v>502003</v>
      </c>
      <c r="D147">
        <v>101396854</v>
      </c>
      <c r="E147" t="s">
        <v>984</v>
      </c>
      <c r="F147" t="s">
        <v>135</v>
      </c>
      <c r="G147" t="s">
        <v>935</v>
      </c>
      <c r="H147" t="s">
        <v>1214</v>
      </c>
      <c r="I147" t="s">
        <v>1215</v>
      </c>
      <c r="J147"/>
      <c r="K147"/>
      <c r="L147"/>
      <c r="M147"/>
    </row>
    <row r="148" spans="1:13" s="13" customFormat="1" ht="15" customHeight="1" x14ac:dyDescent="0.3">
      <c r="A148" t="s">
        <v>985</v>
      </c>
      <c r="B148" t="s">
        <v>933</v>
      </c>
      <c r="C148">
        <v>502003</v>
      </c>
      <c r="D148">
        <v>101116143</v>
      </c>
      <c r="E148" t="s">
        <v>986</v>
      </c>
      <c r="F148" t="s">
        <v>987</v>
      </c>
      <c r="G148" t="s">
        <v>935</v>
      </c>
      <c r="H148" t="s">
        <v>18</v>
      </c>
      <c r="I148" t="s">
        <v>1216</v>
      </c>
      <c r="J148"/>
      <c r="K148"/>
      <c r="L148"/>
      <c r="M148"/>
    </row>
    <row r="149" spans="1:13" s="13" customFormat="1" ht="15" customHeight="1" x14ac:dyDescent="0.3">
      <c r="A149" t="s">
        <v>988</v>
      </c>
      <c r="B149" t="s">
        <v>933</v>
      </c>
      <c r="C149">
        <v>502003</v>
      </c>
      <c r="D149">
        <v>101110819</v>
      </c>
      <c r="E149" t="s">
        <v>989</v>
      </c>
      <c r="F149" t="s">
        <v>135</v>
      </c>
      <c r="G149" t="s">
        <v>935</v>
      </c>
      <c r="H149" t="s">
        <v>1161</v>
      </c>
      <c r="I149" t="s">
        <v>1217</v>
      </c>
      <c r="J149"/>
      <c r="K149"/>
      <c r="L149"/>
      <c r="M149"/>
    </row>
    <row r="150" spans="1:13" s="13" customFormat="1" ht="15" customHeight="1" x14ac:dyDescent="0.3">
      <c r="A150" t="s">
        <v>990</v>
      </c>
      <c r="B150" t="s">
        <v>933</v>
      </c>
      <c r="C150">
        <v>502003</v>
      </c>
      <c r="D150">
        <v>101219573</v>
      </c>
      <c r="E150" t="s">
        <v>991</v>
      </c>
      <c r="F150" t="s">
        <v>135</v>
      </c>
      <c r="G150" t="s">
        <v>935</v>
      </c>
      <c r="H150" t="s">
        <v>1218</v>
      </c>
      <c r="I150" t="s">
        <v>1219</v>
      </c>
      <c r="J150"/>
      <c r="K150"/>
      <c r="L150"/>
      <c r="M150"/>
    </row>
    <row r="151" spans="1:13" s="13" customFormat="1" ht="15" customHeight="1" x14ac:dyDescent="0.3">
      <c r="A151" t="s">
        <v>992</v>
      </c>
      <c r="B151" t="s">
        <v>933</v>
      </c>
      <c r="C151">
        <v>502003</v>
      </c>
      <c r="D151">
        <v>101009847</v>
      </c>
      <c r="E151" t="s">
        <v>993</v>
      </c>
      <c r="F151" t="s">
        <v>135</v>
      </c>
      <c r="G151" t="s">
        <v>935</v>
      </c>
      <c r="H151" t="s">
        <v>1220</v>
      </c>
      <c r="I151" t="s">
        <v>1221</v>
      </c>
      <c r="J151"/>
      <c r="K151"/>
      <c r="L151"/>
      <c r="M151"/>
    </row>
    <row r="152" spans="1:13" s="13" customFormat="1" ht="15" customHeight="1" x14ac:dyDescent="0.3">
      <c r="A152" t="s">
        <v>994</v>
      </c>
      <c r="B152" t="s">
        <v>933</v>
      </c>
      <c r="C152">
        <v>502003</v>
      </c>
      <c r="D152">
        <v>101258731</v>
      </c>
      <c r="E152" t="s">
        <v>995</v>
      </c>
      <c r="F152" t="s">
        <v>135</v>
      </c>
      <c r="G152" t="s">
        <v>935</v>
      </c>
      <c r="H152" t="s">
        <v>1222</v>
      </c>
      <c r="I152" t="s">
        <v>1223</v>
      </c>
      <c r="J152"/>
      <c r="K152"/>
      <c r="L152"/>
      <c r="M152"/>
    </row>
    <row r="153" spans="1:13" s="13" customFormat="1" ht="15" customHeight="1" x14ac:dyDescent="0.3">
      <c r="A153" t="s">
        <v>996</v>
      </c>
      <c r="B153" t="s">
        <v>933</v>
      </c>
      <c r="C153">
        <v>502003</v>
      </c>
      <c r="D153">
        <v>101320292</v>
      </c>
      <c r="E153" t="s">
        <v>997</v>
      </c>
      <c r="F153" t="s">
        <v>135</v>
      </c>
      <c r="G153" t="s">
        <v>935</v>
      </c>
      <c r="H153" t="s">
        <v>1224</v>
      </c>
      <c r="I153" t="s">
        <v>1225</v>
      </c>
      <c r="J153"/>
      <c r="K153"/>
      <c r="L153"/>
      <c r="M153"/>
    </row>
    <row r="154" spans="1:13" s="13" customFormat="1" ht="15" customHeight="1" x14ac:dyDescent="0.3">
      <c r="A154" t="s">
        <v>998</v>
      </c>
      <c r="B154" t="s">
        <v>933</v>
      </c>
      <c r="C154">
        <v>502003</v>
      </c>
      <c r="D154">
        <v>101053479</v>
      </c>
      <c r="E154" t="s">
        <v>999</v>
      </c>
      <c r="F154" t="s">
        <v>1000</v>
      </c>
      <c r="G154" t="s">
        <v>935</v>
      </c>
      <c r="H154" t="s">
        <v>1226</v>
      </c>
      <c r="I154" t="s">
        <v>1227</v>
      </c>
      <c r="J154"/>
      <c r="K154"/>
      <c r="L154"/>
      <c r="M154"/>
    </row>
    <row r="155" spans="1:13" s="13" customFormat="1" ht="15" customHeight="1" x14ac:dyDescent="0.3">
      <c r="A155" t="s">
        <v>1001</v>
      </c>
      <c r="B155" t="s">
        <v>933</v>
      </c>
      <c r="C155">
        <v>502003</v>
      </c>
      <c r="D155">
        <v>101077908</v>
      </c>
      <c r="E155" t="s">
        <v>1002</v>
      </c>
      <c r="F155" t="s">
        <v>135</v>
      </c>
      <c r="G155" t="s">
        <v>935</v>
      </c>
      <c r="H155" t="s">
        <v>1228</v>
      </c>
      <c r="I155" t="s">
        <v>1229</v>
      </c>
      <c r="J155"/>
      <c r="K155"/>
      <c r="L155"/>
      <c r="M155"/>
    </row>
    <row r="156" spans="1:13" s="13" customFormat="1" ht="15" customHeight="1" x14ac:dyDescent="0.3">
      <c r="A156" t="s">
        <v>1003</v>
      </c>
      <c r="B156" t="s">
        <v>933</v>
      </c>
      <c r="C156">
        <v>502003</v>
      </c>
      <c r="D156">
        <v>101320662</v>
      </c>
      <c r="E156" t="s">
        <v>1004</v>
      </c>
      <c r="F156" t="s">
        <v>135</v>
      </c>
      <c r="G156" t="s">
        <v>935</v>
      </c>
      <c r="H156" t="s">
        <v>1180</v>
      </c>
      <c r="I156" t="s">
        <v>1230</v>
      </c>
      <c r="J156"/>
      <c r="K156"/>
      <c r="L156"/>
      <c r="M156"/>
    </row>
    <row r="157" spans="1:13" s="13" customFormat="1" ht="15" customHeight="1" x14ac:dyDescent="0.3">
      <c r="A157" t="s">
        <v>1005</v>
      </c>
      <c r="B157" t="s">
        <v>933</v>
      </c>
      <c r="C157">
        <v>502003</v>
      </c>
      <c r="D157">
        <v>101017141</v>
      </c>
      <c r="E157" t="s">
        <v>1006</v>
      </c>
      <c r="F157" t="s">
        <v>135</v>
      </c>
      <c r="G157" t="s">
        <v>935</v>
      </c>
      <c r="H157" t="s">
        <v>1161</v>
      </c>
      <c r="I157" t="s">
        <v>1231</v>
      </c>
      <c r="J157"/>
      <c r="K157"/>
      <c r="L157"/>
      <c r="M157"/>
    </row>
    <row r="158" spans="1:13" s="13" customFormat="1" ht="15" customHeight="1" x14ac:dyDescent="0.3">
      <c r="A158" t="s">
        <v>1007</v>
      </c>
      <c r="B158" t="s">
        <v>933</v>
      </c>
      <c r="C158">
        <v>502003</v>
      </c>
      <c r="D158">
        <v>101320269</v>
      </c>
      <c r="E158" t="s">
        <v>1008</v>
      </c>
      <c r="F158" t="s">
        <v>135</v>
      </c>
      <c r="G158" t="s">
        <v>935</v>
      </c>
      <c r="H158" t="s">
        <v>1232</v>
      </c>
      <c r="I158" t="s">
        <v>1233</v>
      </c>
      <c r="J158"/>
      <c r="K158"/>
      <c r="L158"/>
      <c r="M158"/>
    </row>
    <row r="159" spans="1:13" s="13" customFormat="1" ht="15" customHeight="1" x14ac:dyDescent="0.3">
      <c r="A159" t="s">
        <v>1009</v>
      </c>
      <c r="B159" t="s">
        <v>933</v>
      </c>
      <c r="C159">
        <v>502003</v>
      </c>
      <c r="D159">
        <v>101320293</v>
      </c>
      <c r="E159" t="s">
        <v>1010</v>
      </c>
      <c r="F159" t="s">
        <v>135</v>
      </c>
      <c r="G159" t="s">
        <v>935</v>
      </c>
      <c r="H159" t="s">
        <v>1234</v>
      </c>
      <c r="I159" t="s">
        <v>1235</v>
      </c>
      <c r="J159"/>
      <c r="K159"/>
      <c r="L159"/>
      <c r="M159"/>
    </row>
    <row r="160" spans="1:13" s="13" customFormat="1" ht="15" customHeight="1" x14ac:dyDescent="0.3">
      <c r="A160" t="s">
        <v>1011</v>
      </c>
      <c r="B160" t="s">
        <v>933</v>
      </c>
      <c r="C160">
        <v>502003</v>
      </c>
      <c r="D160">
        <v>101405393</v>
      </c>
      <c r="E160" t="s">
        <v>1012</v>
      </c>
      <c r="F160" t="s">
        <v>135</v>
      </c>
      <c r="G160" t="s">
        <v>935</v>
      </c>
      <c r="H160" t="s">
        <v>1236</v>
      </c>
      <c r="I160" t="s">
        <v>1237</v>
      </c>
      <c r="J160"/>
      <c r="K160"/>
      <c r="L160"/>
      <c r="M160"/>
    </row>
    <row r="161" spans="1:13" s="13" customFormat="1" ht="15" customHeight="1" x14ac:dyDescent="0.3">
      <c r="A161" t="s">
        <v>1013</v>
      </c>
      <c r="B161" t="s">
        <v>933</v>
      </c>
      <c r="C161">
        <v>502003</v>
      </c>
      <c r="D161">
        <v>101226452</v>
      </c>
      <c r="E161" t="s">
        <v>1014</v>
      </c>
      <c r="F161" t="s">
        <v>1015</v>
      </c>
      <c r="G161" t="s">
        <v>935</v>
      </c>
      <c r="H161" t="s">
        <v>1238</v>
      </c>
      <c r="I161" t="s">
        <v>1239</v>
      </c>
      <c r="J161"/>
      <c r="K161"/>
      <c r="L161"/>
      <c r="M161"/>
    </row>
    <row r="162" spans="1:13" s="13" customFormat="1" ht="15" customHeight="1" x14ac:dyDescent="0.3">
      <c r="A162" t="s">
        <v>1016</v>
      </c>
      <c r="B162" t="s">
        <v>933</v>
      </c>
      <c r="C162">
        <v>502003</v>
      </c>
      <c r="D162">
        <v>101217563</v>
      </c>
      <c r="E162" t="s">
        <v>1017</v>
      </c>
      <c r="F162" t="s">
        <v>135</v>
      </c>
      <c r="G162" t="s">
        <v>935</v>
      </c>
      <c r="H162" t="s">
        <v>1108</v>
      </c>
      <c r="I162" t="s">
        <v>1240</v>
      </c>
      <c r="J162"/>
      <c r="K162"/>
      <c r="L162"/>
      <c r="M162"/>
    </row>
    <row r="163" spans="1:13" s="13" customFormat="1" ht="15" customHeight="1" x14ac:dyDescent="0.3">
      <c r="A163" t="s">
        <v>1018</v>
      </c>
      <c r="B163" t="s">
        <v>933</v>
      </c>
      <c r="C163">
        <v>502003</v>
      </c>
      <c r="D163">
        <v>101193512</v>
      </c>
      <c r="E163" t="s">
        <v>1019</v>
      </c>
      <c r="F163" t="s">
        <v>135</v>
      </c>
      <c r="G163" t="s">
        <v>935</v>
      </c>
      <c r="H163" t="s">
        <v>1241</v>
      </c>
      <c r="I163" t="s">
        <v>1242</v>
      </c>
      <c r="J163"/>
      <c r="K163"/>
      <c r="L163"/>
      <c r="M163"/>
    </row>
    <row r="164" spans="1:13" s="13" customFormat="1" ht="15" customHeight="1" x14ac:dyDescent="0.3">
      <c r="A164" t="s">
        <v>1020</v>
      </c>
      <c r="B164" t="s">
        <v>933</v>
      </c>
      <c r="C164">
        <v>502003</v>
      </c>
      <c r="D164">
        <v>101211814</v>
      </c>
      <c r="E164" t="s">
        <v>1021</v>
      </c>
      <c r="F164" t="s">
        <v>135</v>
      </c>
      <c r="G164" t="s">
        <v>935</v>
      </c>
      <c r="H164" t="s">
        <v>1091</v>
      </c>
      <c r="I164" t="s">
        <v>1243</v>
      </c>
      <c r="J164"/>
      <c r="K164"/>
      <c r="L164"/>
      <c r="M164"/>
    </row>
    <row r="165" spans="1:13" s="13" customFormat="1" ht="15" customHeight="1" x14ac:dyDescent="0.3">
      <c r="A165" t="s">
        <v>1022</v>
      </c>
      <c r="B165" t="s">
        <v>933</v>
      </c>
      <c r="C165">
        <v>502003</v>
      </c>
      <c r="D165">
        <v>101226710</v>
      </c>
      <c r="E165" t="s">
        <v>1023</v>
      </c>
      <c r="F165" t="s">
        <v>1024</v>
      </c>
      <c r="G165" t="s">
        <v>935</v>
      </c>
      <c r="H165" t="s">
        <v>1097</v>
      </c>
      <c r="I165" t="s">
        <v>1243</v>
      </c>
      <c r="J165"/>
      <c r="K165"/>
      <c r="L165"/>
      <c r="M165"/>
    </row>
    <row r="166" spans="1:13" s="13" customFormat="1" ht="15" customHeight="1" x14ac:dyDescent="0.3">
      <c r="A166" t="s">
        <v>1025</v>
      </c>
      <c r="B166" t="s">
        <v>933</v>
      </c>
      <c r="C166">
        <v>502003</v>
      </c>
      <c r="D166">
        <v>101224170</v>
      </c>
      <c r="E166" t="s">
        <v>1026</v>
      </c>
      <c r="F166" t="s">
        <v>1027</v>
      </c>
      <c r="G166" t="s">
        <v>935</v>
      </c>
      <c r="H166" t="s">
        <v>1244</v>
      </c>
      <c r="I166" t="s">
        <v>1245</v>
      </c>
      <c r="J166"/>
      <c r="K166"/>
      <c r="L166"/>
      <c r="M166"/>
    </row>
    <row r="167" spans="1:13" s="13" customFormat="1" ht="15" customHeight="1" x14ac:dyDescent="0.3">
      <c r="A167" t="s">
        <v>1028</v>
      </c>
      <c r="B167" t="s">
        <v>933</v>
      </c>
      <c r="C167">
        <v>502003</v>
      </c>
      <c r="D167">
        <v>101025349</v>
      </c>
      <c r="E167" t="s">
        <v>1029</v>
      </c>
      <c r="F167" t="s">
        <v>1030</v>
      </c>
      <c r="G167" t="s">
        <v>935</v>
      </c>
      <c r="H167" t="s">
        <v>1129</v>
      </c>
      <c r="I167" t="s">
        <v>1246</v>
      </c>
      <c r="J167"/>
      <c r="K167"/>
      <c r="L167"/>
      <c r="M167"/>
    </row>
    <row r="168" spans="1:13" x14ac:dyDescent="0.3">
      <c r="A168" t="s">
        <v>1031</v>
      </c>
      <c r="B168" t="s">
        <v>933</v>
      </c>
      <c r="C168">
        <v>502003</v>
      </c>
      <c r="D168">
        <v>101177909</v>
      </c>
      <c r="E168" t="s">
        <v>1032</v>
      </c>
      <c r="F168" t="s">
        <v>135</v>
      </c>
      <c r="G168" t="s">
        <v>935</v>
      </c>
      <c r="H168" t="s">
        <v>1247</v>
      </c>
      <c r="I168" t="s">
        <v>1091</v>
      </c>
    </row>
    <row r="169" spans="1:13" x14ac:dyDescent="0.3">
      <c r="A169" t="s">
        <v>1033</v>
      </c>
      <c r="B169" t="s">
        <v>933</v>
      </c>
      <c r="C169">
        <v>502003</v>
      </c>
      <c r="D169">
        <v>101320590</v>
      </c>
      <c r="E169" t="s">
        <v>1034</v>
      </c>
      <c r="F169" t="s">
        <v>135</v>
      </c>
      <c r="G169" t="s">
        <v>935</v>
      </c>
      <c r="H169" t="s">
        <v>1248</v>
      </c>
      <c r="I169" t="s">
        <v>1249</v>
      </c>
    </row>
    <row r="170" spans="1:13" x14ac:dyDescent="0.3">
      <c r="A170" t="s">
        <v>1035</v>
      </c>
      <c r="B170" t="s">
        <v>933</v>
      </c>
      <c r="C170">
        <v>502003</v>
      </c>
      <c r="D170">
        <v>101346079</v>
      </c>
      <c r="E170" t="s">
        <v>1036</v>
      </c>
      <c r="F170" t="s">
        <v>135</v>
      </c>
      <c r="G170" t="s">
        <v>935</v>
      </c>
      <c r="H170" t="s">
        <v>1250</v>
      </c>
      <c r="I170" t="s">
        <v>1251</v>
      </c>
    </row>
    <row r="171" spans="1:13" x14ac:dyDescent="0.3">
      <c r="A171" t="s">
        <v>1037</v>
      </c>
      <c r="B171" t="s">
        <v>933</v>
      </c>
      <c r="C171">
        <v>502003</v>
      </c>
      <c r="D171">
        <v>101081566</v>
      </c>
      <c r="E171" t="s">
        <v>1038</v>
      </c>
      <c r="F171" t="s">
        <v>135</v>
      </c>
      <c r="G171" t="s">
        <v>935</v>
      </c>
      <c r="H171" t="s">
        <v>1252</v>
      </c>
      <c r="I171" t="s">
        <v>1251</v>
      </c>
    </row>
    <row r="172" spans="1:13" x14ac:dyDescent="0.3">
      <c r="A172" t="s">
        <v>1039</v>
      </c>
      <c r="B172" t="s">
        <v>933</v>
      </c>
      <c r="C172">
        <v>502003</v>
      </c>
      <c r="D172">
        <v>101320304</v>
      </c>
      <c r="E172" t="s">
        <v>1040</v>
      </c>
      <c r="F172" t="s">
        <v>135</v>
      </c>
      <c r="G172" t="s">
        <v>935</v>
      </c>
      <c r="H172" t="s">
        <v>1111</v>
      </c>
      <c r="I172" t="s">
        <v>1253</v>
      </c>
    </row>
    <row r="173" spans="1:13" x14ac:dyDescent="0.3">
      <c r="A173" t="s">
        <v>1041</v>
      </c>
      <c r="B173" t="s">
        <v>933</v>
      </c>
      <c r="C173">
        <v>502003</v>
      </c>
      <c r="D173">
        <v>101320267</v>
      </c>
      <c r="E173" t="s">
        <v>1042</v>
      </c>
      <c r="F173" t="s">
        <v>135</v>
      </c>
      <c r="G173" t="s">
        <v>935</v>
      </c>
      <c r="H173" t="s">
        <v>1254</v>
      </c>
      <c r="I173" t="s">
        <v>1255</v>
      </c>
    </row>
    <row r="174" spans="1:13" x14ac:dyDescent="0.3">
      <c r="A174" t="s">
        <v>1043</v>
      </c>
      <c r="B174" t="s">
        <v>933</v>
      </c>
      <c r="C174">
        <v>502003</v>
      </c>
      <c r="D174">
        <v>101313870</v>
      </c>
      <c r="E174" t="s">
        <v>1044</v>
      </c>
      <c r="F174" t="s">
        <v>135</v>
      </c>
      <c r="G174" t="s">
        <v>935</v>
      </c>
      <c r="H174" t="s">
        <v>1256</v>
      </c>
      <c r="I174" t="s">
        <v>1257</v>
      </c>
    </row>
    <row r="175" spans="1:13" x14ac:dyDescent="0.3">
      <c r="A175" t="s">
        <v>1045</v>
      </c>
      <c r="B175" t="s">
        <v>933</v>
      </c>
      <c r="C175">
        <v>502003</v>
      </c>
      <c r="D175">
        <v>101081567</v>
      </c>
      <c r="E175" t="s">
        <v>1046</v>
      </c>
      <c r="F175" t="s">
        <v>135</v>
      </c>
      <c r="G175" t="s">
        <v>935</v>
      </c>
      <c r="H175" t="s">
        <v>1258</v>
      </c>
      <c r="I175" t="s">
        <v>1259</v>
      </c>
    </row>
    <row r="176" spans="1:13" x14ac:dyDescent="0.3">
      <c r="A176" t="s">
        <v>1047</v>
      </c>
      <c r="B176" t="s">
        <v>933</v>
      </c>
      <c r="C176">
        <v>502003</v>
      </c>
      <c r="D176">
        <v>101110991</v>
      </c>
      <c r="E176" t="s">
        <v>1048</v>
      </c>
      <c r="F176" t="s">
        <v>1049</v>
      </c>
      <c r="G176" t="s">
        <v>935</v>
      </c>
      <c r="H176" t="s">
        <v>1175</v>
      </c>
      <c r="I176" t="s">
        <v>1260</v>
      </c>
    </row>
    <row r="177" spans="1:13" x14ac:dyDescent="0.3">
      <c r="A177" t="s">
        <v>1050</v>
      </c>
      <c r="B177" t="s">
        <v>933</v>
      </c>
      <c r="C177">
        <v>502003</v>
      </c>
      <c r="D177">
        <v>101218519</v>
      </c>
      <c r="E177" t="s">
        <v>1051</v>
      </c>
      <c r="F177" t="s">
        <v>135</v>
      </c>
      <c r="G177" t="s">
        <v>935</v>
      </c>
      <c r="H177" t="s">
        <v>1261</v>
      </c>
      <c r="I177" t="s">
        <v>1262</v>
      </c>
    </row>
    <row r="178" spans="1:13" x14ac:dyDescent="0.3">
      <c r="A178" t="s">
        <v>1052</v>
      </c>
      <c r="B178" t="s">
        <v>933</v>
      </c>
      <c r="C178">
        <v>502003</v>
      </c>
      <c r="D178">
        <v>101020234</v>
      </c>
      <c r="E178" t="s">
        <v>1053</v>
      </c>
      <c r="F178" t="s">
        <v>135</v>
      </c>
      <c r="G178" t="s">
        <v>935</v>
      </c>
      <c r="H178" t="s">
        <v>1263</v>
      </c>
      <c r="I178" t="s">
        <v>1264</v>
      </c>
    </row>
    <row r="179" spans="1:13" x14ac:dyDescent="0.3">
      <c r="A179" t="s">
        <v>1054</v>
      </c>
      <c r="B179" t="s">
        <v>933</v>
      </c>
      <c r="C179">
        <v>502003</v>
      </c>
      <c r="D179">
        <v>101077262</v>
      </c>
      <c r="E179" t="s">
        <v>1055</v>
      </c>
      <c r="F179" t="s">
        <v>1056</v>
      </c>
      <c r="G179" t="s">
        <v>935</v>
      </c>
      <c r="H179" t="s">
        <v>1238</v>
      </c>
      <c r="I179" t="s">
        <v>1265</v>
      </c>
    </row>
    <row r="180" spans="1:13" x14ac:dyDescent="0.3">
      <c r="A180" t="s">
        <v>2959</v>
      </c>
      <c r="B180" t="s">
        <v>2960</v>
      </c>
      <c r="C180">
        <v>120106141</v>
      </c>
      <c r="D180">
        <v>120106142</v>
      </c>
      <c r="E180" t="s">
        <v>2961</v>
      </c>
      <c r="F180" t="s">
        <v>2962</v>
      </c>
      <c r="G180" t="s">
        <v>2198</v>
      </c>
      <c r="H180" t="s">
        <v>1119</v>
      </c>
      <c r="I180" t="s">
        <v>2963</v>
      </c>
      <c r="L180" t="s">
        <v>2964</v>
      </c>
      <c r="M180" t="s">
        <v>2965</v>
      </c>
    </row>
    <row r="181" spans="1:13" x14ac:dyDescent="0.3">
      <c r="A181" t="s">
        <v>2966</v>
      </c>
      <c r="B181" t="s">
        <v>2960</v>
      </c>
      <c r="C181">
        <v>120106141</v>
      </c>
      <c r="D181">
        <v>120172603</v>
      </c>
      <c r="E181" t="s">
        <v>2967</v>
      </c>
      <c r="F181" t="s">
        <v>2968</v>
      </c>
      <c r="G181" t="s">
        <v>2198</v>
      </c>
      <c r="H181" t="s">
        <v>2653</v>
      </c>
      <c r="I181" t="s">
        <v>2969</v>
      </c>
      <c r="J181" t="s">
        <v>2200</v>
      </c>
    </row>
    <row r="182" spans="1:13" x14ac:dyDescent="0.3">
      <c r="A182" t="s">
        <v>2871</v>
      </c>
      <c r="B182" t="s">
        <v>2872</v>
      </c>
      <c r="C182">
        <v>110005399</v>
      </c>
      <c r="D182">
        <v>101113828</v>
      </c>
      <c r="E182" t="s">
        <v>2873</v>
      </c>
      <c r="H182" t="s">
        <v>1175</v>
      </c>
      <c r="I182" t="s">
        <v>2906</v>
      </c>
      <c r="L182" t="s">
        <v>2907</v>
      </c>
      <c r="M182" t="s">
        <v>2908</v>
      </c>
    </row>
    <row r="183" spans="1:13" x14ac:dyDescent="0.3">
      <c r="A183" t="s">
        <v>2874</v>
      </c>
      <c r="B183" t="s">
        <v>2872</v>
      </c>
      <c r="C183">
        <v>110005399</v>
      </c>
      <c r="D183">
        <v>120046493</v>
      </c>
      <c r="E183" t="s">
        <v>2875</v>
      </c>
      <c r="H183" t="s">
        <v>2909</v>
      </c>
      <c r="I183" t="s">
        <v>2910</v>
      </c>
      <c r="L183" t="s">
        <v>2911</v>
      </c>
    </row>
    <row r="184" spans="1:13" x14ac:dyDescent="0.3">
      <c r="A184" t="s">
        <v>2876</v>
      </c>
      <c r="B184" t="s">
        <v>2872</v>
      </c>
      <c r="C184">
        <v>110005399</v>
      </c>
      <c r="D184">
        <v>120090304</v>
      </c>
      <c r="E184" t="s">
        <v>2877</v>
      </c>
      <c r="H184" t="s">
        <v>2912</v>
      </c>
      <c r="I184" t="s">
        <v>2913</v>
      </c>
      <c r="J184" t="s">
        <v>2200</v>
      </c>
      <c r="L184" t="s">
        <v>2914</v>
      </c>
    </row>
    <row r="185" spans="1:13" x14ac:dyDescent="0.3">
      <c r="A185" t="s">
        <v>2878</v>
      </c>
      <c r="B185" t="s">
        <v>2872</v>
      </c>
      <c r="C185">
        <v>110005399</v>
      </c>
      <c r="D185">
        <v>120090305</v>
      </c>
      <c r="E185" t="s">
        <v>2879</v>
      </c>
      <c r="H185" t="s">
        <v>1351</v>
      </c>
      <c r="I185" t="s">
        <v>2915</v>
      </c>
      <c r="J185" t="s">
        <v>2200</v>
      </c>
      <c r="L185" t="s">
        <v>2916</v>
      </c>
    </row>
    <row r="186" spans="1:13" x14ac:dyDescent="0.3">
      <c r="A186" t="s">
        <v>2880</v>
      </c>
      <c r="B186" t="s">
        <v>2872</v>
      </c>
      <c r="C186">
        <v>110005399</v>
      </c>
      <c r="D186">
        <v>120090363</v>
      </c>
      <c r="E186" t="s">
        <v>2881</v>
      </c>
      <c r="H186" t="s">
        <v>2917</v>
      </c>
      <c r="I186" t="s">
        <v>2918</v>
      </c>
      <c r="J186" t="s">
        <v>2200</v>
      </c>
    </row>
    <row r="187" spans="1:13" x14ac:dyDescent="0.3">
      <c r="A187" t="s">
        <v>2882</v>
      </c>
      <c r="B187" t="s">
        <v>2872</v>
      </c>
      <c r="C187">
        <v>110005399</v>
      </c>
      <c r="D187">
        <v>120090302</v>
      </c>
      <c r="E187" t="s">
        <v>2883</v>
      </c>
      <c r="H187" t="s">
        <v>1356</v>
      </c>
      <c r="I187" t="s">
        <v>2919</v>
      </c>
      <c r="J187" t="s">
        <v>2200</v>
      </c>
      <c r="L187" t="s">
        <v>2916</v>
      </c>
    </row>
    <row r="188" spans="1:13" x14ac:dyDescent="0.3">
      <c r="A188" t="s">
        <v>2884</v>
      </c>
      <c r="B188" t="s">
        <v>2872</v>
      </c>
      <c r="C188">
        <v>110005399</v>
      </c>
      <c r="D188">
        <v>120046494</v>
      </c>
      <c r="E188" t="s">
        <v>2885</v>
      </c>
      <c r="H188" t="s">
        <v>2347</v>
      </c>
      <c r="I188" t="s">
        <v>2511</v>
      </c>
      <c r="L188" t="s">
        <v>2920</v>
      </c>
    </row>
    <row r="189" spans="1:13" x14ac:dyDescent="0.3">
      <c r="A189" t="s">
        <v>2886</v>
      </c>
      <c r="B189" t="s">
        <v>2872</v>
      </c>
      <c r="C189">
        <v>110005399</v>
      </c>
      <c r="D189">
        <v>120090303</v>
      </c>
      <c r="E189" t="s">
        <v>2887</v>
      </c>
      <c r="H189" t="s">
        <v>2921</v>
      </c>
      <c r="I189" t="s">
        <v>2922</v>
      </c>
      <c r="J189" t="s">
        <v>2200</v>
      </c>
      <c r="L189" t="s">
        <v>2923</v>
      </c>
    </row>
    <row r="190" spans="1:13" x14ac:dyDescent="0.3">
      <c r="A190" t="s">
        <v>2888</v>
      </c>
      <c r="B190" t="s">
        <v>2872</v>
      </c>
      <c r="C190">
        <v>110005399</v>
      </c>
      <c r="D190">
        <v>120090306</v>
      </c>
      <c r="E190" t="s">
        <v>2889</v>
      </c>
      <c r="H190" t="s">
        <v>1259</v>
      </c>
      <c r="I190" t="s">
        <v>2924</v>
      </c>
      <c r="J190" t="s">
        <v>2200</v>
      </c>
      <c r="L190" t="s">
        <v>2925</v>
      </c>
    </row>
    <row r="191" spans="1:13" x14ac:dyDescent="0.3">
      <c r="A191" t="s">
        <v>2890</v>
      </c>
      <c r="B191" t="s">
        <v>2872</v>
      </c>
      <c r="C191">
        <v>110005399</v>
      </c>
      <c r="D191">
        <v>120090301</v>
      </c>
      <c r="E191" t="s">
        <v>2891</v>
      </c>
      <c r="H191" t="s">
        <v>1244</v>
      </c>
      <c r="I191" t="s">
        <v>2926</v>
      </c>
      <c r="J191" t="s">
        <v>2901</v>
      </c>
      <c r="L191" t="s">
        <v>2927</v>
      </c>
    </row>
    <row r="192" spans="1:13" x14ac:dyDescent="0.3">
      <c r="A192" t="s">
        <v>2892</v>
      </c>
      <c r="B192" t="s">
        <v>2872</v>
      </c>
      <c r="C192">
        <v>110005399</v>
      </c>
      <c r="D192">
        <v>120090307</v>
      </c>
      <c r="E192" t="s">
        <v>2893</v>
      </c>
      <c r="H192" t="s">
        <v>1103</v>
      </c>
      <c r="I192" t="s">
        <v>2928</v>
      </c>
      <c r="J192" t="s">
        <v>2200</v>
      </c>
    </row>
    <row r="193" spans="1:13" x14ac:dyDescent="0.3">
      <c r="A193" t="s">
        <v>2894</v>
      </c>
      <c r="B193" t="s">
        <v>2872</v>
      </c>
      <c r="C193">
        <v>110005399</v>
      </c>
      <c r="D193">
        <v>120090308</v>
      </c>
      <c r="E193" t="s">
        <v>2895</v>
      </c>
      <c r="H193" t="s">
        <v>2523</v>
      </c>
      <c r="I193" t="s">
        <v>2929</v>
      </c>
      <c r="J193" t="s">
        <v>2200</v>
      </c>
    </row>
    <row r="194" spans="1:13" x14ac:dyDescent="0.3">
      <c r="A194" t="s">
        <v>2797</v>
      </c>
      <c r="B194" t="s">
        <v>2872</v>
      </c>
      <c r="C194">
        <v>110005399</v>
      </c>
      <c r="D194">
        <v>120046495</v>
      </c>
      <c r="E194" t="s">
        <v>2896</v>
      </c>
      <c r="H194" t="s">
        <v>2930</v>
      </c>
      <c r="I194" t="s">
        <v>2931</v>
      </c>
      <c r="L194" t="s">
        <v>2932</v>
      </c>
    </row>
    <row r="195" spans="1:13" x14ac:dyDescent="0.3">
      <c r="A195" t="s">
        <v>2944</v>
      </c>
      <c r="B195" t="s">
        <v>2872</v>
      </c>
      <c r="C195">
        <v>110005399</v>
      </c>
      <c r="D195">
        <v>120172604</v>
      </c>
      <c r="E195" t="s">
        <v>2945</v>
      </c>
      <c r="F195" t="s">
        <v>2946</v>
      </c>
      <c r="H195" t="s">
        <v>1089</v>
      </c>
      <c r="I195" t="s">
        <v>2953</v>
      </c>
      <c r="J195" t="s">
        <v>2200</v>
      </c>
      <c r="L195" t="s">
        <v>2954</v>
      </c>
    </row>
    <row r="196" spans="1:13" x14ac:dyDescent="0.3">
      <c r="A196" t="s">
        <v>2947</v>
      </c>
      <c r="B196" t="s">
        <v>2872</v>
      </c>
      <c r="C196">
        <v>110005399</v>
      </c>
      <c r="D196">
        <v>120172605</v>
      </c>
      <c r="E196" t="s">
        <v>2948</v>
      </c>
      <c r="F196" t="s">
        <v>2949</v>
      </c>
      <c r="H196" t="s">
        <v>2639</v>
      </c>
      <c r="I196" t="s">
        <v>2955</v>
      </c>
      <c r="J196" t="s">
        <v>2200</v>
      </c>
      <c r="L196" t="s">
        <v>2956</v>
      </c>
    </row>
    <row r="197" spans="1:13" x14ac:dyDescent="0.3">
      <c r="A197" t="s">
        <v>2950</v>
      </c>
      <c r="B197" t="s">
        <v>2872</v>
      </c>
      <c r="C197">
        <v>110005399</v>
      </c>
      <c r="D197">
        <v>120172606</v>
      </c>
      <c r="E197" t="s">
        <v>2951</v>
      </c>
      <c r="F197" t="s">
        <v>2952</v>
      </c>
      <c r="H197" t="s">
        <v>2957</v>
      </c>
      <c r="I197" t="s">
        <v>2958</v>
      </c>
      <c r="J197" t="s">
        <v>2898</v>
      </c>
      <c r="L197" t="s">
        <v>2957</v>
      </c>
    </row>
    <row r="198" spans="1:13" x14ac:dyDescent="0.3">
      <c r="A198" t="s">
        <v>174</v>
      </c>
      <c r="B198" t="s">
        <v>175</v>
      </c>
      <c r="C198">
        <v>7498596</v>
      </c>
      <c r="D198">
        <v>101362242</v>
      </c>
      <c r="E198" t="s">
        <v>176</v>
      </c>
      <c r="J198" s="13"/>
      <c r="K198" s="13"/>
      <c r="L198" s="13"/>
      <c r="M198" s="13"/>
    </row>
    <row r="199" spans="1:13" x14ac:dyDescent="0.3">
      <c r="A199" t="s">
        <v>177</v>
      </c>
      <c r="B199" t="s">
        <v>175</v>
      </c>
      <c r="C199">
        <v>7498596</v>
      </c>
      <c r="D199">
        <v>101362240</v>
      </c>
      <c r="E199" t="s">
        <v>178</v>
      </c>
      <c r="J199" s="13"/>
      <c r="K199" s="13"/>
      <c r="L199" s="13"/>
      <c r="M199" s="13"/>
    </row>
    <row r="200" spans="1:13" x14ac:dyDescent="0.3">
      <c r="A200" t="s">
        <v>179</v>
      </c>
      <c r="B200" t="s">
        <v>175</v>
      </c>
      <c r="C200">
        <v>7498596</v>
      </c>
      <c r="D200">
        <v>101362238</v>
      </c>
      <c r="E200" t="s">
        <v>180</v>
      </c>
      <c r="J200" s="13"/>
      <c r="K200" s="13"/>
      <c r="L200" s="13"/>
      <c r="M200" s="13"/>
    </row>
    <row r="201" spans="1:13" x14ac:dyDescent="0.3">
      <c r="A201" t="s">
        <v>181</v>
      </c>
      <c r="B201" t="s">
        <v>175</v>
      </c>
      <c r="C201">
        <v>7498596</v>
      </c>
      <c r="D201">
        <v>101362239</v>
      </c>
      <c r="E201" t="s">
        <v>182</v>
      </c>
      <c r="J201" s="13"/>
      <c r="K201" s="13"/>
      <c r="L201" s="13"/>
      <c r="M201" s="13"/>
    </row>
    <row r="202" spans="1:13" x14ac:dyDescent="0.3">
      <c r="A202" t="s">
        <v>183</v>
      </c>
      <c r="B202" t="s">
        <v>175</v>
      </c>
      <c r="C202">
        <v>7498596</v>
      </c>
      <c r="D202">
        <v>101362237</v>
      </c>
      <c r="E202" t="s">
        <v>184</v>
      </c>
      <c r="J202" s="13"/>
      <c r="K202" s="13"/>
      <c r="L202" s="13"/>
      <c r="M202" s="13"/>
    </row>
    <row r="203" spans="1:13" x14ac:dyDescent="0.3">
      <c r="A203" t="s">
        <v>174</v>
      </c>
      <c r="B203" t="s">
        <v>175</v>
      </c>
      <c r="C203">
        <v>7498596</v>
      </c>
      <c r="D203">
        <v>101059050</v>
      </c>
      <c r="E203" t="s">
        <v>176</v>
      </c>
      <c r="G203" t="s">
        <v>2198</v>
      </c>
      <c r="H203" t="s">
        <v>2416</v>
      </c>
      <c r="I203" t="s">
        <v>2417</v>
      </c>
      <c r="L203" t="s">
        <v>2418</v>
      </c>
    </row>
    <row r="204" spans="1:13" x14ac:dyDescent="0.3">
      <c r="A204" t="s">
        <v>177</v>
      </c>
      <c r="B204" t="s">
        <v>175</v>
      </c>
      <c r="C204">
        <v>7498596</v>
      </c>
      <c r="D204">
        <v>101059029</v>
      </c>
      <c r="E204" t="s">
        <v>178</v>
      </c>
      <c r="G204" t="s">
        <v>2386</v>
      </c>
      <c r="H204" t="s">
        <v>2419</v>
      </c>
      <c r="I204" t="s">
        <v>2407</v>
      </c>
      <c r="L204" t="s">
        <v>2418</v>
      </c>
    </row>
    <row r="205" spans="1:13" x14ac:dyDescent="0.3">
      <c r="A205" t="s">
        <v>179</v>
      </c>
      <c r="B205" t="s">
        <v>175</v>
      </c>
      <c r="C205">
        <v>7498596</v>
      </c>
      <c r="D205">
        <v>101059016</v>
      </c>
      <c r="E205" t="s">
        <v>180</v>
      </c>
      <c r="G205" t="s">
        <v>2198</v>
      </c>
      <c r="H205" t="s">
        <v>1133</v>
      </c>
      <c r="I205" t="s">
        <v>2420</v>
      </c>
      <c r="L205" t="s">
        <v>2418</v>
      </c>
    </row>
    <row r="206" spans="1:13" x14ac:dyDescent="0.3">
      <c r="A206" t="s">
        <v>181</v>
      </c>
      <c r="B206" t="s">
        <v>175</v>
      </c>
      <c r="C206">
        <v>7498596</v>
      </c>
      <c r="D206">
        <v>101059017</v>
      </c>
      <c r="E206" t="s">
        <v>182</v>
      </c>
      <c r="G206" t="s">
        <v>2198</v>
      </c>
      <c r="H206" t="s">
        <v>2421</v>
      </c>
      <c r="I206" t="s">
        <v>2422</v>
      </c>
      <c r="L206" t="s">
        <v>2418</v>
      </c>
    </row>
    <row r="207" spans="1:13" x14ac:dyDescent="0.3">
      <c r="A207" t="s">
        <v>2187</v>
      </c>
      <c r="B207" t="s">
        <v>175</v>
      </c>
      <c r="C207">
        <v>7498596</v>
      </c>
      <c r="D207">
        <v>120172026</v>
      </c>
      <c r="E207" t="s">
        <v>2423</v>
      </c>
      <c r="G207" t="s">
        <v>2198</v>
      </c>
      <c r="H207" t="s">
        <v>2283</v>
      </c>
      <c r="I207" t="s">
        <v>2424</v>
      </c>
    </row>
    <row r="208" spans="1:13" x14ac:dyDescent="0.3">
      <c r="A208" t="s">
        <v>183</v>
      </c>
      <c r="B208" t="s">
        <v>175</v>
      </c>
      <c r="C208">
        <v>7498596</v>
      </c>
      <c r="D208">
        <v>101059043</v>
      </c>
      <c r="E208" t="s">
        <v>184</v>
      </c>
      <c r="G208" t="s">
        <v>2198</v>
      </c>
      <c r="H208" t="s">
        <v>2425</v>
      </c>
      <c r="I208" t="s">
        <v>2426</v>
      </c>
      <c r="L208" t="s">
        <v>2418</v>
      </c>
    </row>
    <row r="209" spans="1:13" x14ac:dyDescent="0.3">
      <c r="A209" s="13" t="s">
        <v>73</v>
      </c>
      <c r="B209" s="13" t="s">
        <v>74</v>
      </c>
      <c r="C209" s="13">
        <v>7480788</v>
      </c>
      <c r="D209" s="13">
        <v>101266537</v>
      </c>
      <c r="J209" s="13"/>
      <c r="K209" s="13"/>
      <c r="L209" s="13"/>
      <c r="M209" s="13"/>
    </row>
    <row r="210" spans="1:13" x14ac:dyDescent="0.3">
      <c r="A210" s="13" t="s">
        <v>48</v>
      </c>
      <c r="B210" s="13" t="s">
        <v>49</v>
      </c>
      <c r="C210" s="13">
        <v>7478385</v>
      </c>
      <c r="D210" s="13">
        <v>101255923</v>
      </c>
      <c r="J210" s="13"/>
      <c r="K210" s="13"/>
      <c r="L210" s="13"/>
      <c r="M210" s="13"/>
    </row>
    <row r="211" spans="1:13" x14ac:dyDescent="0.3">
      <c r="A211" s="13" t="s">
        <v>1991</v>
      </c>
      <c r="B211" s="13" t="s">
        <v>39</v>
      </c>
      <c r="C211" s="13">
        <v>534217</v>
      </c>
      <c r="D211" s="13">
        <v>100748289</v>
      </c>
      <c r="J211" s="13"/>
      <c r="K211" s="13"/>
      <c r="L211" s="13"/>
      <c r="M211" s="13"/>
    </row>
    <row r="212" spans="1:13" x14ac:dyDescent="0.3">
      <c r="A212" t="s">
        <v>1921</v>
      </c>
      <c r="B212" t="s">
        <v>39</v>
      </c>
      <c r="C212">
        <v>534217</v>
      </c>
      <c r="D212" t="s">
        <v>1931</v>
      </c>
      <c r="E212" t="s">
        <v>1940</v>
      </c>
      <c r="H212" s="15" t="str">
        <f t="shared" ref="H212:H220" si="2">IF(ISBLANK(A212),"",IFERROR(LEFT(A212,SEARCH(" ",A212)-1),""))</f>
        <v>Carol</v>
      </c>
      <c r="I212" s="15" t="str">
        <f t="shared" ref="I212:I220" si="3">IF(ISBLANK(A212),"",IFERROR(RIGHT(A212,LEN(A212)-SEARCH(" ",A212)),""))</f>
        <v>Barrett</v>
      </c>
    </row>
    <row r="213" spans="1:13" x14ac:dyDescent="0.3">
      <c r="A213" t="s">
        <v>1922</v>
      </c>
      <c r="B213" t="s">
        <v>39</v>
      </c>
      <c r="C213">
        <v>534217</v>
      </c>
      <c r="D213" t="s">
        <v>1932</v>
      </c>
      <c r="E213" t="s">
        <v>1941</v>
      </c>
      <c r="H213" s="15" t="str">
        <f t="shared" si="2"/>
        <v>Adio</v>
      </c>
      <c r="I213" s="15" t="str">
        <f t="shared" si="3"/>
        <v>Brown</v>
      </c>
    </row>
    <row r="214" spans="1:13" x14ac:dyDescent="0.3">
      <c r="A214" t="s">
        <v>1923</v>
      </c>
      <c r="B214" t="s">
        <v>39</v>
      </c>
      <c r="C214">
        <v>534217</v>
      </c>
      <c r="D214" t="s">
        <v>1933</v>
      </c>
      <c r="E214" t="s">
        <v>1942</v>
      </c>
      <c r="H214" s="15" t="str">
        <f t="shared" si="2"/>
        <v>Garrett</v>
      </c>
      <c r="I214" s="15" t="str">
        <f t="shared" si="3"/>
        <v>Bush</v>
      </c>
    </row>
    <row r="215" spans="1:13" x14ac:dyDescent="0.3">
      <c r="A215" t="s">
        <v>1924</v>
      </c>
      <c r="B215" t="s">
        <v>39</v>
      </c>
      <c r="C215">
        <v>534217</v>
      </c>
      <c r="D215" t="s">
        <v>1934</v>
      </c>
      <c r="E215" t="s">
        <v>1943</v>
      </c>
      <c r="H215" s="15" t="str">
        <f t="shared" si="2"/>
        <v>Dena</v>
      </c>
      <c r="I215" s="15" t="str">
        <f t="shared" si="3"/>
        <v>Dye</v>
      </c>
    </row>
    <row r="216" spans="1:13" x14ac:dyDescent="0.3">
      <c r="A216" t="s">
        <v>1925</v>
      </c>
      <c r="B216" t="s">
        <v>39</v>
      </c>
      <c r="C216">
        <v>534217</v>
      </c>
      <c r="D216" t="s">
        <v>1935</v>
      </c>
      <c r="E216" t="s">
        <v>1944</v>
      </c>
      <c r="H216" s="15" t="str">
        <f t="shared" si="2"/>
        <v>Maja</v>
      </c>
      <c r="I216" s="15" t="str">
        <f t="shared" si="3"/>
        <v>Estil</v>
      </c>
    </row>
    <row r="217" spans="1:13" x14ac:dyDescent="0.3">
      <c r="A217" t="s">
        <v>1926</v>
      </c>
      <c r="B217" t="s">
        <v>39</v>
      </c>
      <c r="C217">
        <v>534217</v>
      </c>
      <c r="D217" t="s">
        <v>1936</v>
      </c>
      <c r="E217" t="s">
        <v>1945</v>
      </c>
      <c r="H217" s="15" t="str">
        <f t="shared" si="2"/>
        <v>Shawn</v>
      </c>
      <c r="I217" s="15" t="str">
        <f t="shared" si="3"/>
        <v>Herman</v>
      </c>
    </row>
    <row r="218" spans="1:13" x14ac:dyDescent="0.3">
      <c r="A218" t="s">
        <v>1927</v>
      </c>
      <c r="B218" t="s">
        <v>39</v>
      </c>
      <c r="C218">
        <v>534217</v>
      </c>
      <c r="D218" t="s">
        <v>1937</v>
      </c>
      <c r="E218" t="s">
        <v>1946</v>
      </c>
      <c r="H218" s="15" t="str">
        <f t="shared" si="2"/>
        <v>Brandon</v>
      </c>
      <c r="I218" s="15" t="str">
        <f t="shared" si="3"/>
        <v>Huff</v>
      </c>
    </row>
    <row r="219" spans="1:13" x14ac:dyDescent="0.3">
      <c r="A219" t="s">
        <v>1928</v>
      </c>
      <c r="B219" t="s">
        <v>39</v>
      </c>
      <c r="C219">
        <v>534217</v>
      </c>
      <c r="D219" t="s">
        <v>1938</v>
      </c>
      <c r="E219" t="s">
        <v>1947</v>
      </c>
      <c r="H219" s="15" t="str">
        <f t="shared" si="2"/>
        <v>Danylo</v>
      </c>
      <c r="I219" s="15" t="str">
        <f t="shared" si="3"/>
        <v>"Danny" Kravchenko</v>
      </c>
    </row>
    <row r="220" spans="1:13" x14ac:dyDescent="0.3">
      <c r="A220" t="s">
        <v>1929</v>
      </c>
      <c r="B220" t="s">
        <v>39</v>
      </c>
      <c r="C220">
        <v>534217</v>
      </c>
      <c r="D220" t="s">
        <v>1939</v>
      </c>
      <c r="E220" t="s">
        <v>1948</v>
      </c>
      <c r="H220" s="15" t="str">
        <f t="shared" si="2"/>
        <v>Blair</v>
      </c>
      <c r="I220" s="15" t="str">
        <f t="shared" si="3"/>
        <v>McLean</v>
      </c>
    </row>
    <row r="221" spans="1:13" x14ac:dyDescent="0.3">
      <c r="A221" t="s">
        <v>1999</v>
      </c>
      <c r="B221" t="s">
        <v>2000</v>
      </c>
      <c r="C221">
        <v>7498597</v>
      </c>
      <c r="D221">
        <v>120170638</v>
      </c>
      <c r="E221" t="s">
        <v>2427</v>
      </c>
      <c r="G221" t="s">
        <v>2198</v>
      </c>
      <c r="H221" t="s">
        <v>1141</v>
      </c>
      <c r="I221" t="s">
        <v>2428</v>
      </c>
    </row>
    <row r="222" spans="1:13" x14ac:dyDescent="0.3">
      <c r="A222" t="s">
        <v>2012</v>
      </c>
      <c r="B222" t="s">
        <v>2000</v>
      </c>
      <c r="C222">
        <v>7498597</v>
      </c>
      <c r="D222">
        <v>120169716</v>
      </c>
      <c r="E222" t="s">
        <v>2013</v>
      </c>
      <c r="G222" t="s">
        <v>2198</v>
      </c>
      <c r="H222" t="s">
        <v>2425</v>
      </c>
      <c r="I222" t="s">
        <v>2407</v>
      </c>
    </row>
    <row r="223" spans="1:13" x14ac:dyDescent="0.3">
      <c r="A223" t="s">
        <v>2014</v>
      </c>
      <c r="B223" t="s">
        <v>2000</v>
      </c>
      <c r="C223">
        <v>7498597</v>
      </c>
      <c r="D223">
        <v>120040700</v>
      </c>
      <c r="E223" t="s">
        <v>2015</v>
      </c>
      <c r="G223" t="s">
        <v>2198</v>
      </c>
      <c r="H223" t="s">
        <v>2429</v>
      </c>
      <c r="I223" t="s">
        <v>2430</v>
      </c>
      <c r="J223" t="s">
        <v>2431</v>
      </c>
      <c r="K223" t="s">
        <v>2432</v>
      </c>
    </row>
    <row r="224" spans="1:13" x14ac:dyDescent="0.3">
      <c r="A224" t="s">
        <v>2001</v>
      </c>
      <c r="B224" t="s">
        <v>2000</v>
      </c>
      <c r="C224">
        <v>7498597</v>
      </c>
      <c r="D224">
        <v>120170931</v>
      </c>
      <c r="E224" t="s">
        <v>2016</v>
      </c>
      <c r="G224" t="s">
        <v>2198</v>
      </c>
      <c r="H224" t="s">
        <v>2433</v>
      </c>
      <c r="I224" t="s">
        <v>2434</v>
      </c>
    </row>
    <row r="225" spans="1:13" x14ac:dyDescent="0.3">
      <c r="A225" t="s">
        <v>1919</v>
      </c>
      <c r="B225" t="s">
        <v>2000</v>
      </c>
      <c r="C225">
        <v>7498597</v>
      </c>
      <c r="D225">
        <v>120043505</v>
      </c>
      <c r="E225" t="s">
        <v>1920</v>
      </c>
      <c r="G225" t="s">
        <v>2198</v>
      </c>
      <c r="H225" t="s">
        <v>1091</v>
      </c>
      <c r="I225" t="s">
        <v>2435</v>
      </c>
      <c r="K225" t="s">
        <v>2436</v>
      </c>
      <c r="L225" t="s">
        <v>2437</v>
      </c>
    </row>
    <row r="226" spans="1:13" x14ac:dyDescent="0.3">
      <c r="A226" t="s">
        <v>1069</v>
      </c>
      <c r="B226" t="s">
        <v>1070</v>
      </c>
      <c r="C226">
        <v>519831</v>
      </c>
      <c r="D226">
        <v>101413756</v>
      </c>
      <c r="E226" s="14" t="s">
        <v>1071</v>
      </c>
      <c r="H226" s="15" t="str">
        <f>IF(ISBLANK(A226),"",IFERROR(LEFT(A226,SEARCH(" ",A226)-1),""))</f>
        <v>Jesse</v>
      </c>
      <c r="I226" s="15" t="str">
        <f>IF(ISBLANK(A226),"",IFERROR(RIGHT(A226,LEN(A226)-SEARCH(" ",A226)),""))</f>
        <v>Toland</v>
      </c>
    </row>
    <row r="227" spans="1:13" x14ac:dyDescent="0.3">
      <c r="A227" t="s">
        <v>2185</v>
      </c>
      <c r="B227" t="s">
        <v>2184</v>
      </c>
      <c r="C227">
        <v>120171918</v>
      </c>
      <c r="D227">
        <v>120172024</v>
      </c>
      <c r="E227" t="s">
        <v>2238</v>
      </c>
      <c r="G227" t="s">
        <v>2198</v>
      </c>
      <c r="H227" t="s">
        <v>2239</v>
      </c>
      <c r="I227" t="s">
        <v>2240</v>
      </c>
      <c r="J227" t="s">
        <v>2200</v>
      </c>
    </row>
    <row r="228" spans="1:13" x14ac:dyDescent="0.3">
      <c r="A228" t="s">
        <v>2183</v>
      </c>
      <c r="B228" t="s">
        <v>2184</v>
      </c>
      <c r="C228">
        <v>120171918</v>
      </c>
      <c r="D228">
        <v>120172023</v>
      </c>
      <c r="E228" t="s">
        <v>2241</v>
      </c>
      <c r="G228" t="s">
        <v>2198</v>
      </c>
      <c r="H228" t="s">
        <v>2242</v>
      </c>
      <c r="I228" t="s">
        <v>2243</v>
      </c>
      <c r="J228" t="s">
        <v>2200</v>
      </c>
    </row>
    <row r="229" spans="1:13" x14ac:dyDescent="0.3">
      <c r="A229" t="s">
        <v>2186</v>
      </c>
      <c r="B229" t="s">
        <v>2184</v>
      </c>
      <c r="C229">
        <v>120171918</v>
      </c>
      <c r="D229">
        <v>120172025</v>
      </c>
      <c r="E229" t="s">
        <v>2244</v>
      </c>
      <c r="G229" t="s">
        <v>2198</v>
      </c>
      <c r="H229" t="s">
        <v>2245</v>
      </c>
      <c r="I229" t="s">
        <v>2246</v>
      </c>
      <c r="J229" t="s">
        <v>2200</v>
      </c>
    </row>
    <row r="230" spans="1:13" x14ac:dyDescent="0.3">
      <c r="A230" t="s">
        <v>2182</v>
      </c>
      <c r="B230" t="s">
        <v>2180</v>
      </c>
      <c r="C230">
        <v>7498601</v>
      </c>
      <c r="D230">
        <v>101059015</v>
      </c>
      <c r="E230" t="s">
        <v>2438</v>
      </c>
      <c r="G230" t="s">
        <v>2386</v>
      </c>
      <c r="H230" t="s">
        <v>2439</v>
      </c>
      <c r="I230" t="s">
        <v>2440</v>
      </c>
      <c r="L230" t="s">
        <v>2441</v>
      </c>
    </row>
    <row r="231" spans="1:13" x14ac:dyDescent="0.3">
      <c r="A231" t="s">
        <v>2181</v>
      </c>
      <c r="B231" t="s">
        <v>2180</v>
      </c>
      <c r="C231">
        <v>7498601</v>
      </c>
      <c r="D231">
        <v>120172022</v>
      </c>
      <c r="E231" t="s">
        <v>2442</v>
      </c>
      <c r="G231" t="s">
        <v>2198</v>
      </c>
      <c r="H231" t="s">
        <v>1161</v>
      </c>
      <c r="I231" t="s">
        <v>2443</v>
      </c>
    </row>
    <row r="232" spans="1:13" x14ac:dyDescent="0.3">
      <c r="A232" t="s">
        <v>2179</v>
      </c>
      <c r="B232" t="s">
        <v>2180</v>
      </c>
      <c r="C232">
        <v>7498601</v>
      </c>
      <c r="D232">
        <v>120172021</v>
      </c>
      <c r="E232" t="s">
        <v>2444</v>
      </c>
      <c r="G232" t="s">
        <v>2198</v>
      </c>
      <c r="H232" t="s">
        <v>2445</v>
      </c>
      <c r="I232" t="s">
        <v>2446</v>
      </c>
    </row>
    <row r="233" spans="1:13" x14ac:dyDescent="0.3">
      <c r="A233" t="s">
        <v>2815</v>
      </c>
      <c r="B233" t="s">
        <v>2816</v>
      </c>
      <c r="C233">
        <v>120141398</v>
      </c>
      <c r="D233">
        <v>120141740</v>
      </c>
      <c r="E233" t="s">
        <v>2817</v>
      </c>
      <c r="H233" t="s">
        <v>2556</v>
      </c>
      <c r="I233" t="s">
        <v>2841</v>
      </c>
      <c r="J233" t="s">
        <v>2200</v>
      </c>
      <c r="L233" t="s">
        <v>2842</v>
      </c>
    </row>
    <row r="234" spans="1:13" x14ac:dyDescent="0.3">
      <c r="A234" t="s">
        <v>2818</v>
      </c>
      <c r="B234" t="s">
        <v>2816</v>
      </c>
      <c r="C234">
        <v>120141398</v>
      </c>
      <c r="D234">
        <v>120141399</v>
      </c>
      <c r="E234" t="s">
        <v>2819</v>
      </c>
      <c r="H234" t="s">
        <v>2843</v>
      </c>
      <c r="I234" t="s">
        <v>2844</v>
      </c>
      <c r="J234" t="s">
        <v>2845</v>
      </c>
      <c r="L234" t="s">
        <v>2846</v>
      </c>
    </row>
    <row r="235" spans="1:13" x14ac:dyDescent="0.3">
      <c r="A235" t="s">
        <v>1986</v>
      </c>
      <c r="B235" t="s">
        <v>1987</v>
      </c>
      <c r="C235">
        <v>110010046</v>
      </c>
      <c r="D235">
        <v>120141721</v>
      </c>
      <c r="H235" s="15" t="str">
        <f>IF(ISBLANK(A235),"",IFERROR(LEFT(A235,SEARCH(" ",A235)-1),""))</f>
        <v>Laura</v>
      </c>
      <c r="I235" s="15" t="str">
        <f>IF(ISBLANK(A235),"",IFERROR(RIGHT(A235,LEN(A235)-SEARCH(" ",A235)),""))</f>
        <v>Nolen</v>
      </c>
    </row>
    <row r="236" spans="1:13" x14ac:dyDescent="0.3">
      <c r="A236" s="13" t="s">
        <v>103</v>
      </c>
      <c r="B236" s="13" t="s">
        <v>104</v>
      </c>
      <c r="C236" s="13">
        <v>7470025</v>
      </c>
      <c r="D236" s="13">
        <v>101334125</v>
      </c>
      <c r="J236" s="13"/>
      <c r="K236" s="13"/>
      <c r="L236" s="13"/>
      <c r="M236" s="13"/>
    </row>
    <row r="237" spans="1:13" x14ac:dyDescent="0.3">
      <c r="A237" s="13" t="s">
        <v>115</v>
      </c>
      <c r="B237" s="13" t="s">
        <v>104</v>
      </c>
      <c r="C237" s="13">
        <v>7470025</v>
      </c>
      <c r="D237" s="13">
        <v>101323980</v>
      </c>
      <c r="J237" s="13"/>
      <c r="K237" s="13"/>
      <c r="L237" s="13"/>
      <c r="M237" s="13"/>
    </row>
    <row r="238" spans="1:13" x14ac:dyDescent="0.3">
      <c r="A238" s="13" t="s">
        <v>27</v>
      </c>
      <c r="B238" s="13" t="s">
        <v>28</v>
      </c>
      <c r="C238" s="13">
        <v>7435262</v>
      </c>
      <c r="D238" s="13">
        <v>101068123</v>
      </c>
      <c r="J238" s="13"/>
      <c r="K238" s="13"/>
      <c r="L238" s="13"/>
      <c r="M238" s="13"/>
    </row>
    <row r="239" spans="1:13" x14ac:dyDescent="0.3">
      <c r="A239" s="13" t="s">
        <v>129</v>
      </c>
      <c r="B239" s="13" t="s">
        <v>130</v>
      </c>
      <c r="C239" s="13">
        <v>7458973</v>
      </c>
      <c r="D239" s="13">
        <v>101359435</v>
      </c>
      <c r="J239" s="13"/>
      <c r="K239" s="13"/>
      <c r="L239" s="13"/>
      <c r="M239" s="13"/>
    </row>
    <row r="240" spans="1:13" x14ac:dyDescent="0.3">
      <c r="A240" s="13" t="s">
        <v>131</v>
      </c>
      <c r="B240" s="13" t="s">
        <v>130</v>
      </c>
      <c r="C240" s="13">
        <v>7458973</v>
      </c>
      <c r="D240" s="13">
        <v>101359433</v>
      </c>
      <c r="J240" s="13"/>
      <c r="K240" s="13"/>
      <c r="L240" s="13"/>
      <c r="M240" s="13"/>
    </row>
    <row r="241" spans="1:13" x14ac:dyDescent="0.3">
      <c r="A241" s="13" t="s">
        <v>132</v>
      </c>
      <c r="B241" s="13" t="s">
        <v>130</v>
      </c>
      <c r="C241" s="13">
        <v>7458973</v>
      </c>
      <c r="D241" s="13">
        <v>101359434</v>
      </c>
      <c r="J241" s="13"/>
      <c r="K241" s="13"/>
      <c r="L241" s="13"/>
      <c r="M241" s="13"/>
    </row>
    <row r="242" spans="1:13" x14ac:dyDescent="0.3">
      <c r="A242" t="s">
        <v>2177</v>
      </c>
      <c r="B242" t="s">
        <v>2178</v>
      </c>
      <c r="C242">
        <v>120171844</v>
      </c>
      <c r="D242">
        <v>120172020</v>
      </c>
      <c r="E242" t="s">
        <v>2395</v>
      </c>
      <c r="G242" t="s">
        <v>2198</v>
      </c>
      <c r="H242" t="s">
        <v>2396</v>
      </c>
      <c r="I242" t="s">
        <v>2397</v>
      </c>
    </row>
    <row r="243" spans="1:13" x14ac:dyDescent="0.3">
      <c r="A243" t="s">
        <v>1970</v>
      </c>
      <c r="B243" t="s">
        <v>2062</v>
      </c>
      <c r="C243">
        <v>516773</v>
      </c>
      <c r="D243">
        <v>100731633</v>
      </c>
    </row>
    <row r="244" spans="1:13" x14ac:dyDescent="0.3">
      <c r="A244" t="s">
        <v>3033</v>
      </c>
      <c r="B244" t="s">
        <v>2062</v>
      </c>
      <c r="C244">
        <v>516773</v>
      </c>
      <c r="D244">
        <v>100731635</v>
      </c>
      <c r="E244" t="s">
        <v>1979</v>
      </c>
    </row>
    <row r="245" spans="1:13" x14ac:dyDescent="0.3">
      <c r="A245" t="s">
        <v>1971</v>
      </c>
      <c r="B245" t="s">
        <v>2062</v>
      </c>
      <c r="C245">
        <v>516773</v>
      </c>
      <c r="D245">
        <v>100731627</v>
      </c>
      <c r="E245" t="s">
        <v>1980</v>
      </c>
    </row>
    <row r="246" spans="1:13" x14ac:dyDescent="0.3">
      <c r="A246" t="s">
        <v>2064</v>
      </c>
      <c r="B246" t="s">
        <v>2062</v>
      </c>
      <c r="C246">
        <v>516773</v>
      </c>
      <c r="D246">
        <v>120171264</v>
      </c>
      <c r="E246" t="s">
        <v>2065</v>
      </c>
    </row>
    <row r="247" spans="1:13" x14ac:dyDescent="0.3">
      <c r="A247" t="s">
        <v>2066</v>
      </c>
      <c r="B247" t="s">
        <v>2062</v>
      </c>
      <c r="C247">
        <v>516773</v>
      </c>
      <c r="D247">
        <v>120171263</v>
      </c>
      <c r="E247" t="s">
        <v>2067</v>
      </c>
    </row>
    <row r="248" spans="1:13" x14ac:dyDescent="0.3">
      <c r="A248" t="s">
        <v>1972</v>
      </c>
      <c r="B248" t="s">
        <v>2062</v>
      </c>
      <c r="C248">
        <v>516773</v>
      </c>
      <c r="D248">
        <v>100731630</v>
      </c>
      <c r="E248" t="s">
        <v>1981</v>
      </c>
    </row>
    <row r="249" spans="1:13" x14ac:dyDescent="0.3">
      <c r="A249" t="s">
        <v>3032</v>
      </c>
      <c r="B249" t="s">
        <v>2062</v>
      </c>
      <c r="C249">
        <v>516773</v>
      </c>
      <c r="D249">
        <v>100731636</v>
      </c>
      <c r="E249" t="s">
        <v>1982</v>
      </c>
    </row>
    <row r="250" spans="1:13" x14ac:dyDescent="0.3">
      <c r="A250" t="s">
        <v>1973</v>
      </c>
      <c r="B250" t="s">
        <v>2062</v>
      </c>
      <c r="C250">
        <v>516773</v>
      </c>
      <c r="D250">
        <v>100731634</v>
      </c>
    </row>
    <row r="251" spans="1:13" x14ac:dyDescent="0.3">
      <c r="A251" t="s">
        <v>1974</v>
      </c>
      <c r="B251" t="s">
        <v>2062</v>
      </c>
      <c r="C251">
        <v>516773</v>
      </c>
      <c r="D251">
        <v>100731631</v>
      </c>
    </row>
    <row r="252" spans="1:13" x14ac:dyDescent="0.3">
      <c r="A252" t="s">
        <v>1975</v>
      </c>
      <c r="B252" t="s">
        <v>2062</v>
      </c>
      <c r="C252">
        <v>516773</v>
      </c>
      <c r="D252">
        <v>120096347</v>
      </c>
      <c r="E252" t="s">
        <v>1983</v>
      </c>
    </row>
    <row r="253" spans="1:13" x14ac:dyDescent="0.3">
      <c r="A253" t="s">
        <v>1976</v>
      </c>
      <c r="B253" t="s">
        <v>2062</v>
      </c>
      <c r="C253">
        <v>516773</v>
      </c>
      <c r="D253">
        <v>120096475</v>
      </c>
      <c r="E253" t="s">
        <v>1984</v>
      </c>
      <c r="F253" t="s">
        <v>1978</v>
      </c>
    </row>
    <row r="254" spans="1:13" x14ac:dyDescent="0.3">
      <c r="A254" t="s">
        <v>1977</v>
      </c>
      <c r="B254" t="s">
        <v>2062</v>
      </c>
      <c r="C254">
        <v>516773</v>
      </c>
      <c r="D254">
        <v>100731638</v>
      </c>
    </row>
    <row r="255" spans="1:13" x14ac:dyDescent="0.3">
      <c r="A255" t="s">
        <v>2068</v>
      </c>
      <c r="B255" t="s">
        <v>2062</v>
      </c>
      <c r="C255">
        <v>516773</v>
      </c>
      <c r="D255">
        <v>120171261</v>
      </c>
      <c r="E255" t="s">
        <v>2069</v>
      </c>
    </row>
    <row r="256" spans="1:13" x14ac:dyDescent="0.3">
      <c r="A256" t="s">
        <v>2006</v>
      </c>
      <c r="B256" t="s">
        <v>2062</v>
      </c>
      <c r="C256">
        <v>516773</v>
      </c>
      <c r="D256">
        <v>120171262</v>
      </c>
      <c r="E256" t="s">
        <v>2070</v>
      </c>
    </row>
    <row r="257" spans="1:13" x14ac:dyDescent="0.3">
      <c r="A257" t="s">
        <v>2071</v>
      </c>
      <c r="B257" t="s">
        <v>2062</v>
      </c>
      <c r="C257">
        <v>516773</v>
      </c>
      <c r="D257">
        <v>100731629</v>
      </c>
    </row>
    <row r="258" spans="1:13" x14ac:dyDescent="0.3">
      <c r="A258" t="s">
        <v>2072</v>
      </c>
      <c r="B258" t="s">
        <v>2062</v>
      </c>
      <c r="C258">
        <v>516773</v>
      </c>
      <c r="D258">
        <v>100731637</v>
      </c>
      <c r="E258" t="s">
        <v>2073</v>
      </c>
    </row>
    <row r="259" spans="1:13" x14ac:dyDescent="0.3">
      <c r="A259" t="s">
        <v>2074</v>
      </c>
      <c r="B259" t="s">
        <v>2062</v>
      </c>
      <c r="C259">
        <v>516773</v>
      </c>
      <c r="D259">
        <v>100731632</v>
      </c>
      <c r="E259" t="s">
        <v>2075</v>
      </c>
    </row>
    <row r="260" spans="1:13" x14ac:dyDescent="0.3">
      <c r="A260" t="s">
        <v>2076</v>
      </c>
      <c r="B260" t="s">
        <v>2062</v>
      </c>
      <c r="C260">
        <v>516773</v>
      </c>
      <c r="D260">
        <v>100731628</v>
      </c>
    </row>
    <row r="261" spans="1:13" x14ac:dyDescent="0.3">
      <c r="A261" s="13" t="s">
        <v>106</v>
      </c>
      <c r="B261" s="13" t="s">
        <v>107</v>
      </c>
      <c r="C261" s="13">
        <v>7494137</v>
      </c>
      <c r="D261" s="13">
        <v>101342603</v>
      </c>
      <c r="J261" s="13"/>
      <c r="K261" s="13"/>
      <c r="L261" s="13"/>
      <c r="M261" s="13"/>
    </row>
    <row r="262" spans="1:13" x14ac:dyDescent="0.3">
      <c r="A262" s="13" t="s">
        <v>94</v>
      </c>
      <c r="B262" s="13" t="s">
        <v>95</v>
      </c>
      <c r="C262" s="13">
        <v>7487916</v>
      </c>
      <c r="D262" s="13">
        <v>101330543</v>
      </c>
      <c r="J262" s="13"/>
      <c r="K262" s="13"/>
      <c r="L262" s="13"/>
      <c r="M262" s="13"/>
    </row>
    <row r="263" spans="1:13" x14ac:dyDescent="0.3">
      <c r="A263" t="s">
        <v>133</v>
      </c>
      <c r="B263" t="s">
        <v>95</v>
      </c>
      <c r="C263">
        <v>7487916</v>
      </c>
      <c r="D263">
        <v>101361951</v>
      </c>
      <c r="E263" t="s">
        <v>134</v>
      </c>
      <c r="F263" t="s">
        <v>135</v>
      </c>
      <c r="J263" s="13"/>
      <c r="K263" s="13"/>
      <c r="L263" s="13"/>
      <c r="M263" s="13"/>
    </row>
    <row r="264" spans="1:13" x14ac:dyDescent="0.3">
      <c r="A264" t="s">
        <v>136</v>
      </c>
      <c r="B264" t="s">
        <v>95</v>
      </c>
      <c r="C264">
        <v>7487916</v>
      </c>
      <c r="D264">
        <v>101361965</v>
      </c>
      <c r="E264" t="s">
        <v>137</v>
      </c>
      <c r="F264" t="s">
        <v>135</v>
      </c>
      <c r="J264" s="13"/>
      <c r="K264" s="13"/>
      <c r="L264" s="13"/>
      <c r="M264" s="13"/>
    </row>
    <row r="265" spans="1:13" x14ac:dyDescent="0.3">
      <c r="A265" t="s">
        <v>138</v>
      </c>
      <c r="B265" t="s">
        <v>95</v>
      </c>
      <c r="C265">
        <v>7487916</v>
      </c>
      <c r="D265">
        <v>101361960</v>
      </c>
      <c r="E265" t="s">
        <v>139</v>
      </c>
      <c r="F265" t="s">
        <v>135</v>
      </c>
      <c r="J265" s="13"/>
      <c r="K265" s="13"/>
      <c r="L265" s="13"/>
      <c r="M265" s="13"/>
    </row>
    <row r="266" spans="1:13" x14ac:dyDescent="0.3">
      <c r="A266" t="s">
        <v>140</v>
      </c>
      <c r="B266" t="s">
        <v>95</v>
      </c>
      <c r="C266">
        <v>7487916</v>
      </c>
      <c r="D266">
        <v>101361958</v>
      </c>
      <c r="E266" t="s">
        <v>141</v>
      </c>
      <c r="F266" t="s">
        <v>135</v>
      </c>
      <c r="J266" s="13"/>
      <c r="K266" s="13"/>
      <c r="L266" s="13"/>
      <c r="M266" s="13"/>
    </row>
    <row r="267" spans="1:13" x14ac:dyDescent="0.3">
      <c r="A267" t="s">
        <v>142</v>
      </c>
      <c r="B267" t="s">
        <v>95</v>
      </c>
      <c r="C267">
        <v>7487916</v>
      </c>
      <c r="D267">
        <v>101361959</v>
      </c>
      <c r="E267" t="s">
        <v>143</v>
      </c>
      <c r="F267" t="s">
        <v>135</v>
      </c>
      <c r="J267" s="13"/>
      <c r="K267" s="13"/>
      <c r="L267" s="13"/>
      <c r="M267" s="13"/>
    </row>
    <row r="268" spans="1:13" x14ac:dyDescent="0.3">
      <c r="A268" t="s">
        <v>144</v>
      </c>
      <c r="B268" t="s">
        <v>95</v>
      </c>
      <c r="C268">
        <v>7487916</v>
      </c>
      <c r="D268">
        <v>101361954</v>
      </c>
      <c r="E268" t="s">
        <v>145</v>
      </c>
      <c r="F268" t="s">
        <v>135</v>
      </c>
      <c r="J268" s="13"/>
      <c r="K268" s="13"/>
      <c r="L268" s="13"/>
      <c r="M268" s="13"/>
    </row>
    <row r="269" spans="1:13" x14ac:dyDescent="0.3">
      <c r="A269" t="s">
        <v>146</v>
      </c>
      <c r="B269" t="s">
        <v>95</v>
      </c>
      <c r="C269">
        <v>7487916</v>
      </c>
      <c r="D269">
        <v>101361946</v>
      </c>
      <c r="E269" t="s">
        <v>147</v>
      </c>
      <c r="F269" t="s">
        <v>135</v>
      </c>
      <c r="J269" s="13"/>
      <c r="K269" s="13"/>
      <c r="L269" s="13"/>
      <c r="M269" s="13"/>
    </row>
    <row r="270" spans="1:13" x14ac:dyDescent="0.3">
      <c r="A270" t="s">
        <v>148</v>
      </c>
      <c r="B270" t="s">
        <v>95</v>
      </c>
      <c r="C270">
        <v>7487916</v>
      </c>
      <c r="D270">
        <v>101361947</v>
      </c>
      <c r="E270" t="s">
        <v>149</v>
      </c>
      <c r="F270" t="s">
        <v>135</v>
      </c>
      <c r="J270" s="13"/>
      <c r="K270" s="13"/>
      <c r="L270" s="13"/>
      <c r="M270" s="13"/>
    </row>
    <row r="271" spans="1:13" x14ac:dyDescent="0.3">
      <c r="A271" t="s">
        <v>150</v>
      </c>
      <c r="B271" t="s">
        <v>95</v>
      </c>
      <c r="C271">
        <v>7487916</v>
      </c>
      <c r="D271">
        <v>101361953</v>
      </c>
      <c r="E271" t="s">
        <v>151</v>
      </c>
      <c r="F271" t="s">
        <v>135</v>
      </c>
      <c r="J271" s="13"/>
      <c r="K271" s="13"/>
      <c r="L271" s="13"/>
      <c r="M271" s="13"/>
    </row>
    <row r="272" spans="1:13" x14ac:dyDescent="0.3">
      <c r="A272" t="s">
        <v>152</v>
      </c>
      <c r="B272" t="s">
        <v>95</v>
      </c>
      <c r="C272">
        <v>7487916</v>
      </c>
      <c r="D272">
        <v>101361961</v>
      </c>
      <c r="E272" t="s">
        <v>153</v>
      </c>
      <c r="F272" t="s">
        <v>135</v>
      </c>
      <c r="J272" s="13"/>
      <c r="K272" s="13"/>
      <c r="L272" s="13"/>
      <c r="M272" s="13"/>
    </row>
    <row r="273" spans="1:13" x14ac:dyDescent="0.3">
      <c r="A273" t="s">
        <v>154</v>
      </c>
      <c r="B273" t="s">
        <v>95</v>
      </c>
      <c r="C273">
        <v>7487916</v>
      </c>
      <c r="D273">
        <v>101361943</v>
      </c>
      <c r="E273" t="s">
        <v>155</v>
      </c>
      <c r="F273" t="s">
        <v>135</v>
      </c>
      <c r="J273" s="13"/>
      <c r="K273" s="13"/>
      <c r="L273" s="13"/>
      <c r="M273" s="13"/>
    </row>
    <row r="274" spans="1:13" x14ac:dyDescent="0.3">
      <c r="A274" t="s">
        <v>156</v>
      </c>
      <c r="B274" t="s">
        <v>95</v>
      </c>
      <c r="C274">
        <v>7487916</v>
      </c>
      <c r="D274">
        <v>101361964</v>
      </c>
      <c r="E274" t="s">
        <v>157</v>
      </c>
      <c r="F274" t="s">
        <v>135</v>
      </c>
      <c r="J274" s="13"/>
      <c r="K274" s="13"/>
      <c r="L274" s="13"/>
      <c r="M274" s="13"/>
    </row>
    <row r="275" spans="1:13" x14ac:dyDescent="0.3">
      <c r="A275" t="s">
        <v>158</v>
      </c>
      <c r="B275" t="s">
        <v>95</v>
      </c>
      <c r="C275">
        <v>7487916</v>
      </c>
      <c r="D275">
        <v>101300180</v>
      </c>
      <c r="E275" t="s">
        <v>135</v>
      </c>
      <c r="F275" t="s">
        <v>135</v>
      </c>
      <c r="J275" s="13"/>
      <c r="K275" s="13"/>
      <c r="L275" s="13"/>
      <c r="M275" s="13"/>
    </row>
    <row r="276" spans="1:13" x14ac:dyDescent="0.3">
      <c r="A276" t="s">
        <v>159</v>
      </c>
      <c r="B276" t="s">
        <v>95</v>
      </c>
      <c r="C276">
        <v>7487916</v>
      </c>
      <c r="D276">
        <v>101361948</v>
      </c>
      <c r="E276" t="s">
        <v>160</v>
      </c>
      <c r="F276" t="s">
        <v>135</v>
      </c>
      <c r="J276" s="13"/>
      <c r="K276" s="13"/>
      <c r="L276" s="13"/>
      <c r="M276" s="13"/>
    </row>
    <row r="277" spans="1:13" x14ac:dyDescent="0.3">
      <c r="A277" t="s">
        <v>161</v>
      </c>
      <c r="B277" t="s">
        <v>95</v>
      </c>
      <c r="C277">
        <v>7487916</v>
      </c>
      <c r="D277">
        <v>101361956</v>
      </c>
      <c r="E277" t="s">
        <v>162</v>
      </c>
      <c r="F277" t="s">
        <v>135</v>
      </c>
      <c r="J277" s="13"/>
      <c r="K277" s="13"/>
      <c r="L277" s="13"/>
      <c r="M277" s="13"/>
    </row>
    <row r="278" spans="1:13" x14ac:dyDescent="0.3">
      <c r="A278" t="s">
        <v>163</v>
      </c>
      <c r="B278" t="s">
        <v>95</v>
      </c>
      <c r="C278">
        <v>7487916</v>
      </c>
      <c r="D278">
        <v>101361950</v>
      </c>
      <c r="E278" t="s">
        <v>164</v>
      </c>
      <c r="F278" t="s">
        <v>135</v>
      </c>
      <c r="J278" s="13"/>
      <c r="K278" s="13"/>
      <c r="L278" s="13"/>
      <c r="M278" s="13"/>
    </row>
    <row r="279" spans="1:13" x14ac:dyDescent="0.3">
      <c r="A279" t="s">
        <v>165</v>
      </c>
      <c r="B279" t="s">
        <v>95</v>
      </c>
      <c r="C279">
        <v>7487916</v>
      </c>
      <c r="D279">
        <v>101361963</v>
      </c>
      <c r="E279" t="s">
        <v>166</v>
      </c>
      <c r="F279" t="s">
        <v>135</v>
      </c>
      <c r="J279" s="13"/>
      <c r="K279" s="13"/>
      <c r="L279" s="13"/>
      <c r="M279" s="13"/>
    </row>
    <row r="280" spans="1:13" x14ac:dyDescent="0.3">
      <c r="A280" t="s">
        <v>167</v>
      </c>
      <c r="B280" t="s">
        <v>95</v>
      </c>
      <c r="C280">
        <v>7487916</v>
      </c>
      <c r="D280">
        <v>101361949</v>
      </c>
      <c r="E280" t="s">
        <v>168</v>
      </c>
      <c r="F280" t="s">
        <v>135</v>
      </c>
      <c r="J280" s="13"/>
      <c r="K280" s="13"/>
      <c r="L280" s="13"/>
      <c r="M280" s="13"/>
    </row>
    <row r="281" spans="1:13" x14ac:dyDescent="0.3">
      <c r="A281" t="s">
        <v>2358</v>
      </c>
      <c r="B281" t="s">
        <v>2359</v>
      </c>
      <c r="C281">
        <v>7487916</v>
      </c>
      <c r="D281">
        <v>101134704</v>
      </c>
      <c r="E281" t="s">
        <v>2360</v>
      </c>
      <c r="G281" t="s">
        <v>2198</v>
      </c>
      <c r="H281" t="s">
        <v>1256</v>
      </c>
      <c r="I281" t="s">
        <v>2361</v>
      </c>
      <c r="L281" t="s">
        <v>2362</v>
      </c>
    </row>
    <row r="282" spans="1:13" x14ac:dyDescent="0.3">
      <c r="A282" t="s">
        <v>133</v>
      </c>
      <c r="B282" t="s">
        <v>2359</v>
      </c>
      <c r="C282">
        <v>7487916</v>
      </c>
      <c r="D282">
        <v>101058760</v>
      </c>
      <c r="E282" t="s">
        <v>134</v>
      </c>
      <c r="G282" t="s">
        <v>2198</v>
      </c>
      <c r="H282" t="s">
        <v>1141</v>
      </c>
      <c r="I282" t="s">
        <v>2363</v>
      </c>
      <c r="L282" t="s">
        <v>2362</v>
      </c>
    </row>
    <row r="283" spans="1:13" x14ac:dyDescent="0.3">
      <c r="A283" t="s">
        <v>2364</v>
      </c>
      <c r="B283" t="s">
        <v>2359</v>
      </c>
      <c r="C283">
        <v>7487916</v>
      </c>
      <c r="D283">
        <v>101140292</v>
      </c>
      <c r="E283" t="s">
        <v>2365</v>
      </c>
      <c r="G283" t="s">
        <v>2198</v>
      </c>
      <c r="H283" t="s">
        <v>1238</v>
      </c>
      <c r="I283" t="s">
        <v>2366</v>
      </c>
      <c r="L283" t="s">
        <v>2362</v>
      </c>
    </row>
    <row r="284" spans="1:13" x14ac:dyDescent="0.3">
      <c r="A284" t="s">
        <v>2367</v>
      </c>
      <c r="B284" t="s">
        <v>2359</v>
      </c>
      <c r="C284">
        <v>7487916</v>
      </c>
      <c r="D284">
        <v>101134706</v>
      </c>
      <c r="E284" t="s">
        <v>2368</v>
      </c>
      <c r="G284" t="s">
        <v>2198</v>
      </c>
      <c r="H284" t="s">
        <v>2259</v>
      </c>
      <c r="I284" t="s">
        <v>2369</v>
      </c>
      <c r="L284" t="s">
        <v>2362</v>
      </c>
    </row>
    <row r="285" spans="1:13" x14ac:dyDescent="0.3">
      <c r="A285" t="s">
        <v>136</v>
      </c>
      <c r="B285" t="s">
        <v>2359</v>
      </c>
      <c r="C285">
        <v>7487916</v>
      </c>
      <c r="D285">
        <v>101058766</v>
      </c>
      <c r="E285" t="s">
        <v>137</v>
      </c>
      <c r="G285" t="s">
        <v>2198</v>
      </c>
      <c r="H285" t="s">
        <v>2370</v>
      </c>
      <c r="I285" t="s">
        <v>2371</v>
      </c>
      <c r="L285" t="s">
        <v>2362</v>
      </c>
    </row>
    <row r="286" spans="1:13" x14ac:dyDescent="0.3">
      <c r="A286" t="s">
        <v>2372</v>
      </c>
      <c r="B286" t="s">
        <v>2359</v>
      </c>
      <c r="C286">
        <v>7487916</v>
      </c>
      <c r="D286">
        <v>120043507</v>
      </c>
      <c r="E286" t="s">
        <v>2373</v>
      </c>
      <c r="G286" t="s">
        <v>2198</v>
      </c>
      <c r="H286" t="s">
        <v>2374</v>
      </c>
      <c r="I286" t="s">
        <v>2375</v>
      </c>
      <c r="J286" t="s">
        <v>2376</v>
      </c>
      <c r="K286" t="s">
        <v>2377</v>
      </c>
      <c r="L286" t="s">
        <v>2378</v>
      </c>
    </row>
    <row r="287" spans="1:13" x14ac:dyDescent="0.3">
      <c r="A287" t="s">
        <v>2173</v>
      </c>
      <c r="B287" t="s">
        <v>2359</v>
      </c>
      <c r="C287">
        <v>7487916</v>
      </c>
      <c r="D287">
        <v>120172005</v>
      </c>
      <c r="E287" t="s">
        <v>2379</v>
      </c>
      <c r="G287" t="s">
        <v>2198</v>
      </c>
      <c r="H287" t="s">
        <v>2380</v>
      </c>
      <c r="I287" t="s">
        <v>2381</v>
      </c>
    </row>
    <row r="288" spans="1:13" x14ac:dyDescent="0.3">
      <c r="A288" t="s">
        <v>138</v>
      </c>
      <c r="B288" t="s">
        <v>2359</v>
      </c>
      <c r="C288">
        <v>7487916</v>
      </c>
      <c r="D288">
        <v>101058763</v>
      </c>
      <c r="E288" t="s">
        <v>139</v>
      </c>
      <c r="G288" t="s">
        <v>2198</v>
      </c>
      <c r="H288" t="s">
        <v>2382</v>
      </c>
      <c r="I288" t="s">
        <v>2383</v>
      </c>
      <c r="L288" t="s">
        <v>2362</v>
      </c>
    </row>
    <row r="289" spans="1:12" x14ac:dyDescent="0.3">
      <c r="A289" t="s">
        <v>140</v>
      </c>
      <c r="B289" t="s">
        <v>2359</v>
      </c>
      <c r="C289">
        <v>7487916</v>
      </c>
      <c r="D289">
        <v>101058780</v>
      </c>
      <c r="E289" t="s">
        <v>141</v>
      </c>
      <c r="G289" t="s">
        <v>2198</v>
      </c>
      <c r="H289" t="s">
        <v>1089</v>
      </c>
      <c r="I289" t="s">
        <v>2384</v>
      </c>
      <c r="L289" t="s">
        <v>2362</v>
      </c>
    </row>
    <row r="290" spans="1:12" x14ac:dyDescent="0.3">
      <c r="A290" t="s">
        <v>2175</v>
      </c>
      <c r="B290" t="s">
        <v>2359</v>
      </c>
      <c r="C290">
        <v>7487916</v>
      </c>
      <c r="D290">
        <v>120172007</v>
      </c>
      <c r="E290" t="s">
        <v>2385</v>
      </c>
      <c r="G290" t="s">
        <v>2386</v>
      </c>
      <c r="H290" t="s">
        <v>2387</v>
      </c>
      <c r="I290" t="s">
        <v>2388</v>
      </c>
    </row>
    <row r="291" spans="1:12" x14ac:dyDescent="0.3">
      <c r="A291" t="s">
        <v>142</v>
      </c>
      <c r="B291" t="s">
        <v>2359</v>
      </c>
      <c r="C291">
        <v>7487916</v>
      </c>
      <c r="D291">
        <v>101058762</v>
      </c>
      <c r="E291" t="s">
        <v>143</v>
      </c>
      <c r="G291" t="s">
        <v>2198</v>
      </c>
      <c r="H291" t="s">
        <v>1161</v>
      </c>
      <c r="I291" t="s">
        <v>2626</v>
      </c>
      <c r="L291" t="s">
        <v>2362</v>
      </c>
    </row>
    <row r="292" spans="1:12" x14ac:dyDescent="0.3">
      <c r="A292" t="s">
        <v>144</v>
      </c>
      <c r="B292" t="s">
        <v>2359</v>
      </c>
      <c r="C292">
        <v>7487916</v>
      </c>
      <c r="D292">
        <v>101058747</v>
      </c>
      <c r="E292" t="s">
        <v>145</v>
      </c>
      <c r="G292" t="s">
        <v>2198</v>
      </c>
      <c r="H292" t="s">
        <v>1131</v>
      </c>
      <c r="I292" t="s">
        <v>2627</v>
      </c>
      <c r="L292" t="s">
        <v>2362</v>
      </c>
    </row>
    <row r="293" spans="1:12" x14ac:dyDescent="0.3">
      <c r="A293" t="s">
        <v>2628</v>
      </c>
      <c r="B293" t="s">
        <v>2359</v>
      </c>
      <c r="C293">
        <v>7487916</v>
      </c>
      <c r="D293">
        <v>101134703</v>
      </c>
      <c r="E293" t="s">
        <v>2629</v>
      </c>
      <c r="G293" t="s">
        <v>2198</v>
      </c>
      <c r="H293" t="s">
        <v>2630</v>
      </c>
      <c r="I293" t="s">
        <v>2631</v>
      </c>
      <c r="L293" t="s">
        <v>2362</v>
      </c>
    </row>
    <row r="294" spans="1:12" x14ac:dyDescent="0.3">
      <c r="A294" t="s">
        <v>2632</v>
      </c>
      <c r="B294" t="s">
        <v>2359</v>
      </c>
      <c r="C294">
        <v>7487916</v>
      </c>
      <c r="D294">
        <v>101140290</v>
      </c>
      <c r="E294" t="s">
        <v>2633</v>
      </c>
      <c r="G294" t="s">
        <v>2198</v>
      </c>
      <c r="H294" t="s">
        <v>2634</v>
      </c>
      <c r="I294" t="s">
        <v>2635</v>
      </c>
      <c r="L294" t="s">
        <v>2362</v>
      </c>
    </row>
    <row r="295" spans="1:12" x14ac:dyDescent="0.3">
      <c r="A295" t="s">
        <v>2636</v>
      </c>
      <c r="B295" t="s">
        <v>2359</v>
      </c>
      <c r="C295">
        <v>7487916</v>
      </c>
      <c r="D295">
        <v>120172008</v>
      </c>
      <c r="E295" t="s">
        <v>2637</v>
      </c>
      <c r="G295" t="s">
        <v>2198</v>
      </c>
      <c r="H295" t="s">
        <v>2469</v>
      </c>
      <c r="I295" t="s">
        <v>2638</v>
      </c>
    </row>
    <row r="296" spans="1:12" x14ac:dyDescent="0.3">
      <c r="A296" t="s">
        <v>146</v>
      </c>
      <c r="B296" t="s">
        <v>2359</v>
      </c>
      <c r="C296">
        <v>7487916</v>
      </c>
      <c r="D296">
        <v>101058728</v>
      </c>
      <c r="E296" t="s">
        <v>147</v>
      </c>
      <c r="G296" t="s">
        <v>2198</v>
      </c>
      <c r="H296" t="s">
        <v>2639</v>
      </c>
      <c r="I296" t="s">
        <v>1212</v>
      </c>
      <c r="L296" t="s">
        <v>2362</v>
      </c>
    </row>
    <row r="297" spans="1:12" x14ac:dyDescent="0.3">
      <c r="A297" t="s">
        <v>148</v>
      </c>
      <c r="B297" t="s">
        <v>2359</v>
      </c>
      <c r="C297">
        <v>7487916</v>
      </c>
      <c r="D297">
        <v>101058746</v>
      </c>
      <c r="E297" t="s">
        <v>149</v>
      </c>
      <c r="G297" t="s">
        <v>2198</v>
      </c>
      <c r="H297" t="s">
        <v>1226</v>
      </c>
      <c r="I297" t="s">
        <v>2640</v>
      </c>
      <c r="L297" t="s">
        <v>2362</v>
      </c>
    </row>
    <row r="298" spans="1:12" x14ac:dyDescent="0.3">
      <c r="A298" t="s">
        <v>2641</v>
      </c>
      <c r="B298" t="s">
        <v>2359</v>
      </c>
      <c r="C298">
        <v>7487916</v>
      </c>
      <c r="D298">
        <v>101140291</v>
      </c>
      <c r="E298" t="s">
        <v>2642</v>
      </c>
      <c r="G298" t="s">
        <v>2198</v>
      </c>
      <c r="H298" t="s">
        <v>2643</v>
      </c>
      <c r="I298" t="s">
        <v>2407</v>
      </c>
      <c r="L298" t="s">
        <v>2362</v>
      </c>
    </row>
    <row r="299" spans="1:12" x14ac:dyDescent="0.3">
      <c r="A299" t="s">
        <v>150</v>
      </c>
      <c r="B299" t="s">
        <v>2359</v>
      </c>
      <c r="C299">
        <v>7487916</v>
      </c>
      <c r="D299">
        <v>101058770</v>
      </c>
      <c r="E299" t="s">
        <v>151</v>
      </c>
      <c r="G299" t="s">
        <v>2198</v>
      </c>
      <c r="H299" t="s">
        <v>2644</v>
      </c>
      <c r="I299" t="s">
        <v>2645</v>
      </c>
      <c r="L299" t="s">
        <v>2362</v>
      </c>
    </row>
    <row r="300" spans="1:12" x14ac:dyDescent="0.3">
      <c r="A300" t="s">
        <v>2646</v>
      </c>
      <c r="B300" t="s">
        <v>2359</v>
      </c>
      <c r="C300">
        <v>7487916</v>
      </c>
      <c r="D300">
        <v>101140257</v>
      </c>
      <c r="E300" t="s">
        <v>2647</v>
      </c>
      <c r="G300" t="s">
        <v>2198</v>
      </c>
      <c r="H300" t="s">
        <v>1161</v>
      </c>
      <c r="I300" t="s">
        <v>2648</v>
      </c>
      <c r="L300" t="s">
        <v>2362</v>
      </c>
    </row>
    <row r="301" spans="1:12" x14ac:dyDescent="0.3">
      <c r="A301" t="s">
        <v>152</v>
      </c>
      <c r="B301" t="s">
        <v>2359</v>
      </c>
      <c r="C301">
        <v>7487916</v>
      </c>
      <c r="D301">
        <v>101058764</v>
      </c>
      <c r="E301" t="s">
        <v>153</v>
      </c>
      <c r="G301" t="s">
        <v>2198</v>
      </c>
      <c r="H301" t="s">
        <v>1084</v>
      </c>
      <c r="I301" t="s">
        <v>2649</v>
      </c>
      <c r="L301" t="s">
        <v>2362</v>
      </c>
    </row>
    <row r="302" spans="1:12" x14ac:dyDescent="0.3">
      <c r="A302" t="s">
        <v>154</v>
      </c>
      <c r="B302" t="s">
        <v>2359</v>
      </c>
      <c r="C302">
        <v>7487916</v>
      </c>
      <c r="D302">
        <v>101058737</v>
      </c>
      <c r="E302" t="s">
        <v>155</v>
      </c>
      <c r="G302" t="s">
        <v>2198</v>
      </c>
      <c r="H302" t="s">
        <v>2650</v>
      </c>
      <c r="I302" t="s">
        <v>2454</v>
      </c>
      <c r="L302" t="s">
        <v>2362</v>
      </c>
    </row>
    <row r="303" spans="1:12" x14ac:dyDescent="0.3">
      <c r="A303" t="s">
        <v>2651</v>
      </c>
      <c r="B303" t="s">
        <v>2359</v>
      </c>
      <c r="C303">
        <v>7487916</v>
      </c>
      <c r="D303">
        <v>101140258</v>
      </c>
      <c r="E303" t="s">
        <v>2652</v>
      </c>
      <c r="G303" t="s">
        <v>2198</v>
      </c>
      <c r="H303" t="s">
        <v>2469</v>
      </c>
      <c r="I303" t="s">
        <v>2564</v>
      </c>
      <c r="L303" t="s">
        <v>2362</v>
      </c>
    </row>
    <row r="304" spans="1:12" x14ac:dyDescent="0.3">
      <c r="A304" t="s">
        <v>156</v>
      </c>
      <c r="B304" t="s">
        <v>2359</v>
      </c>
      <c r="C304">
        <v>7487916</v>
      </c>
      <c r="D304">
        <v>101058765</v>
      </c>
      <c r="E304" t="s">
        <v>157</v>
      </c>
      <c r="G304" t="s">
        <v>2198</v>
      </c>
      <c r="H304" t="s">
        <v>2653</v>
      </c>
      <c r="I304" t="s">
        <v>2654</v>
      </c>
      <c r="L304" t="s">
        <v>2362</v>
      </c>
    </row>
    <row r="305" spans="1:12" x14ac:dyDescent="0.3">
      <c r="A305" t="s">
        <v>2176</v>
      </c>
      <c r="B305" t="s">
        <v>2359</v>
      </c>
      <c r="C305">
        <v>7487916</v>
      </c>
      <c r="D305">
        <v>120172009</v>
      </c>
      <c r="E305" t="s">
        <v>2655</v>
      </c>
      <c r="G305" t="s">
        <v>2198</v>
      </c>
      <c r="H305" t="s">
        <v>1136</v>
      </c>
      <c r="I305" t="s">
        <v>2656</v>
      </c>
    </row>
    <row r="306" spans="1:12" x14ac:dyDescent="0.3">
      <c r="A306" t="s">
        <v>2657</v>
      </c>
      <c r="B306" t="s">
        <v>2359</v>
      </c>
      <c r="C306">
        <v>7487916</v>
      </c>
      <c r="D306">
        <v>101134705</v>
      </c>
      <c r="E306" t="s">
        <v>2658</v>
      </c>
      <c r="G306" t="s">
        <v>2198</v>
      </c>
      <c r="H306" t="s">
        <v>1169</v>
      </c>
      <c r="I306" t="s">
        <v>2659</v>
      </c>
      <c r="L306" t="s">
        <v>2362</v>
      </c>
    </row>
    <row r="307" spans="1:12" x14ac:dyDescent="0.3">
      <c r="A307" t="s">
        <v>158</v>
      </c>
      <c r="B307" t="s">
        <v>2359</v>
      </c>
      <c r="C307">
        <v>7487916</v>
      </c>
      <c r="D307">
        <v>101012927</v>
      </c>
      <c r="G307" t="s">
        <v>2198</v>
      </c>
      <c r="H307" t="s">
        <v>1164</v>
      </c>
      <c r="I307" t="s">
        <v>2660</v>
      </c>
      <c r="L307" t="s">
        <v>2362</v>
      </c>
    </row>
    <row r="308" spans="1:12" x14ac:dyDescent="0.3">
      <c r="A308" t="s">
        <v>2661</v>
      </c>
      <c r="B308" t="s">
        <v>2359</v>
      </c>
      <c r="C308">
        <v>7487916</v>
      </c>
      <c r="D308">
        <v>120042842</v>
      </c>
      <c r="F308" t="s">
        <v>2662</v>
      </c>
      <c r="G308" t="s">
        <v>2198</v>
      </c>
      <c r="H308" t="s">
        <v>1259</v>
      </c>
      <c r="I308" t="s">
        <v>2663</v>
      </c>
      <c r="K308" t="s">
        <v>2664</v>
      </c>
      <c r="L308" t="s">
        <v>2665</v>
      </c>
    </row>
    <row r="309" spans="1:12" x14ac:dyDescent="0.3">
      <c r="A309" t="s">
        <v>2661</v>
      </c>
      <c r="B309" t="s">
        <v>2359</v>
      </c>
      <c r="C309">
        <v>7487916</v>
      </c>
      <c r="D309">
        <v>120043508</v>
      </c>
      <c r="E309" t="s">
        <v>2666</v>
      </c>
      <c r="G309" t="s">
        <v>2198</v>
      </c>
      <c r="H309" t="s">
        <v>1259</v>
      </c>
      <c r="I309" t="s">
        <v>2663</v>
      </c>
      <c r="J309" t="s">
        <v>2667</v>
      </c>
      <c r="K309" t="s">
        <v>2664</v>
      </c>
    </row>
    <row r="310" spans="1:12" x14ac:dyDescent="0.3">
      <c r="A310" t="s">
        <v>1685</v>
      </c>
      <c r="B310" t="s">
        <v>2359</v>
      </c>
      <c r="C310">
        <v>7487916</v>
      </c>
      <c r="D310">
        <v>101031459</v>
      </c>
      <c r="E310" t="s">
        <v>2668</v>
      </c>
      <c r="F310" t="s">
        <v>2669</v>
      </c>
      <c r="G310" t="s">
        <v>2198</v>
      </c>
      <c r="H310" t="s">
        <v>1141</v>
      </c>
      <c r="I310" t="s">
        <v>2670</v>
      </c>
      <c r="J310" t="s">
        <v>2671</v>
      </c>
      <c r="L310" t="s">
        <v>2362</v>
      </c>
    </row>
    <row r="311" spans="1:12" x14ac:dyDescent="0.3">
      <c r="A311" t="s">
        <v>94</v>
      </c>
      <c r="B311" t="s">
        <v>2359</v>
      </c>
      <c r="C311">
        <v>7487916</v>
      </c>
      <c r="D311">
        <v>101134707</v>
      </c>
      <c r="G311" t="s">
        <v>2198</v>
      </c>
      <c r="H311" t="s">
        <v>2310</v>
      </c>
      <c r="I311" t="s">
        <v>2670</v>
      </c>
      <c r="J311" t="s">
        <v>2672</v>
      </c>
      <c r="L311" t="s">
        <v>2673</v>
      </c>
    </row>
    <row r="312" spans="1:12" x14ac:dyDescent="0.3">
      <c r="A312" t="s">
        <v>2674</v>
      </c>
      <c r="B312" t="s">
        <v>2359</v>
      </c>
      <c r="C312">
        <v>7487916</v>
      </c>
      <c r="D312">
        <v>101140259</v>
      </c>
      <c r="E312" t="s">
        <v>2675</v>
      </c>
      <c r="G312" t="s">
        <v>2198</v>
      </c>
      <c r="H312" t="s">
        <v>1141</v>
      </c>
      <c r="I312" t="s">
        <v>2676</v>
      </c>
      <c r="L312" t="s">
        <v>2362</v>
      </c>
    </row>
    <row r="313" spans="1:12" x14ac:dyDescent="0.3">
      <c r="A313" t="s">
        <v>159</v>
      </c>
      <c r="B313" t="s">
        <v>2359</v>
      </c>
      <c r="C313">
        <v>7487916</v>
      </c>
      <c r="D313">
        <v>101058758</v>
      </c>
      <c r="E313" t="s">
        <v>160</v>
      </c>
      <c r="G313" t="s">
        <v>2198</v>
      </c>
      <c r="H313" t="s">
        <v>1226</v>
      </c>
      <c r="I313" t="s">
        <v>2677</v>
      </c>
      <c r="L313" t="s">
        <v>2362</v>
      </c>
    </row>
    <row r="314" spans="1:12" x14ac:dyDescent="0.3">
      <c r="A314" t="s">
        <v>2174</v>
      </c>
      <c r="B314" t="s">
        <v>2359</v>
      </c>
      <c r="C314">
        <v>7487916</v>
      </c>
      <c r="D314">
        <v>120172006</v>
      </c>
      <c r="E314" t="s">
        <v>2678</v>
      </c>
      <c r="G314" t="s">
        <v>2386</v>
      </c>
      <c r="H314" t="s">
        <v>2679</v>
      </c>
      <c r="I314" t="s">
        <v>2680</v>
      </c>
    </row>
    <row r="315" spans="1:12" x14ac:dyDescent="0.3">
      <c r="A315" t="s">
        <v>161</v>
      </c>
      <c r="B315" t="s">
        <v>2359</v>
      </c>
      <c r="C315">
        <v>7487916</v>
      </c>
      <c r="D315">
        <v>101058759</v>
      </c>
      <c r="E315" t="s">
        <v>162</v>
      </c>
      <c r="G315" t="s">
        <v>2386</v>
      </c>
      <c r="H315" t="s">
        <v>2681</v>
      </c>
      <c r="I315" t="s">
        <v>2682</v>
      </c>
      <c r="L315" t="s">
        <v>2362</v>
      </c>
    </row>
    <row r="316" spans="1:12" x14ac:dyDescent="0.3">
      <c r="A316" t="s">
        <v>163</v>
      </c>
      <c r="B316" t="s">
        <v>2359</v>
      </c>
      <c r="C316">
        <v>7487916</v>
      </c>
      <c r="D316">
        <v>101058739</v>
      </c>
      <c r="E316" t="s">
        <v>164</v>
      </c>
      <c r="G316" t="s">
        <v>2198</v>
      </c>
      <c r="H316" t="s">
        <v>1261</v>
      </c>
      <c r="I316" t="s">
        <v>2683</v>
      </c>
      <c r="L316" t="s">
        <v>2362</v>
      </c>
    </row>
    <row r="317" spans="1:12" x14ac:dyDescent="0.3">
      <c r="A317" t="s">
        <v>165</v>
      </c>
      <c r="B317" t="s">
        <v>2359</v>
      </c>
      <c r="C317">
        <v>7487916</v>
      </c>
      <c r="D317">
        <v>101058772</v>
      </c>
      <c r="E317" t="s">
        <v>166</v>
      </c>
      <c r="G317" t="s">
        <v>2198</v>
      </c>
      <c r="H317" t="s">
        <v>2684</v>
      </c>
      <c r="I317" t="s">
        <v>2685</v>
      </c>
      <c r="L317" t="s">
        <v>2362</v>
      </c>
    </row>
    <row r="318" spans="1:12" x14ac:dyDescent="0.3">
      <c r="A318" t="s">
        <v>167</v>
      </c>
      <c r="B318" t="s">
        <v>2359</v>
      </c>
      <c r="C318">
        <v>7487916</v>
      </c>
      <c r="D318">
        <v>101058729</v>
      </c>
      <c r="E318" t="s">
        <v>168</v>
      </c>
      <c r="G318" t="s">
        <v>2198</v>
      </c>
      <c r="H318" t="s">
        <v>1226</v>
      </c>
      <c r="I318" t="s">
        <v>2686</v>
      </c>
      <c r="L318" t="s">
        <v>2362</v>
      </c>
    </row>
    <row r="319" spans="1:12" x14ac:dyDescent="0.3">
      <c r="A319" t="s">
        <v>2172</v>
      </c>
      <c r="B319" t="s">
        <v>2398</v>
      </c>
      <c r="C319">
        <v>514380</v>
      </c>
      <c r="D319">
        <v>120172004</v>
      </c>
      <c r="E319" t="s">
        <v>2399</v>
      </c>
      <c r="G319" t="s">
        <v>2198</v>
      </c>
      <c r="H319" t="s">
        <v>1117</v>
      </c>
      <c r="I319" t="s">
        <v>2400</v>
      </c>
    </row>
    <row r="320" spans="1:12" x14ac:dyDescent="0.3">
      <c r="A320" t="s">
        <v>2401</v>
      </c>
      <c r="B320" t="s">
        <v>2398</v>
      </c>
      <c r="C320">
        <v>514380</v>
      </c>
      <c r="D320">
        <v>120172003</v>
      </c>
      <c r="E320" t="s">
        <v>2402</v>
      </c>
      <c r="G320" t="s">
        <v>2198</v>
      </c>
      <c r="H320" t="s">
        <v>1161</v>
      </c>
      <c r="I320" t="s">
        <v>2403</v>
      </c>
    </row>
    <row r="321" spans="1:13" x14ac:dyDescent="0.3">
      <c r="A321" s="13" t="s">
        <v>125</v>
      </c>
      <c r="B321" s="13" t="s">
        <v>126</v>
      </c>
      <c r="C321" s="13">
        <v>518728</v>
      </c>
      <c r="D321" s="13">
        <v>101210982</v>
      </c>
      <c r="J321" s="13"/>
      <c r="K321" s="13"/>
      <c r="L321" s="13"/>
      <c r="M321" s="13"/>
    </row>
    <row r="322" spans="1:13" x14ac:dyDescent="0.3">
      <c r="A322" s="13" t="s">
        <v>127</v>
      </c>
      <c r="B322" s="13" t="s">
        <v>126</v>
      </c>
      <c r="C322" s="13">
        <v>518728</v>
      </c>
      <c r="D322" s="13">
        <v>100907962</v>
      </c>
      <c r="J322" s="13"/>
      <c r="K322" s="13"/>
      <c r="L322" s="13"/>
      <c r="M322" s="13"/>
    </row>
    <row r="323" spans="1:13" x14ac:dyDescent="0.3">
      <c r="A323" s="13" t="s">
        <v>128</v>
      </c>
      <c r="B323" s="13" t="s">
        <v>126</v>
      </c>
      <c r="C323" s="13">
        <v>518728</v>
      </c>
      <c r="D323" s="13">
        <v>100907950</v>
      </c>
      <c r="J323" s="13"/>
      <c r="K323" s="13"/>
      <c r="L323" s="13"/>
      <c r="M323" s="13"/>
    </row>
    <row r="324" spans="1:13" x14ac:dyDescent="0.3">
      <c r="A324" t="s">
        <v>2170</v>
      </c>
      <c r="B324" t="s">
        <v>2171</v>
      </c>
      <c r="C324">
        <v>120171926</v>
      </c>
      <c r="D324">
        <v>120172002</v>
      </c>
      <c r="E324" t="s">
        <v>2285</v>
      </c>
      <c r="G324" t="s">
        <v>2198</v>
      </c>
      <c r="H324" t="s">
        <v>2286</v>
      </c>
      <c r="I324" t="s">
        <v>2287</v>
      </c>
      <c r="J324" t="s">
        <v>2200</v>
      </c>
    </row>
    <row r="325" spans="1:13" x14ac:dyDescent="0.3">
      <c r="A325" t="s">
        <v>185</v>
      </c>
      <c r="B325" t="s">
        <v>186</v>
      </c>
      <c r="C325">
        <v>7499092</v>
      </c>
      <c r="D325">
        <v>101363854</v>
      </c>
      <c r="E325" t="s">
        <v>187</v>
      </c>
      <c r="F325" t="s">
        <v>188</v>
      </c>
      <c r="J325" s="13"/>
      <c r="K325" s="13"/>
      <c r="L325" s="13"/>
      <c r="M325" s="13"/>
    </row>
    <row r="326" spans="1:13" x14ac:dyDescent="0.3">
      <c r="A326" t="s">
        <v>189</v>
      </c>
      <c r="B326" t="s">
        <v>186</v>
      </c>
      <c r="C326">
        <v>7499092</v>
      </c>
      <c r="D326">
        <v>101363855</v>
      </c>
      <c r="E326" t="s">
        <v>190</v>
      </c>
      <c r="F326" t="s">
        <v>191</v>
      </c>
      <c r="J326" s="13"/>
      <c r="K326" s="13"/>
      <c r="L326" s="13"/>
      <c r="M326" s="13"/>
    </row>
    <row r="327" spans="1:13" x14ac:dyDescent="0.3">
      <c r="A327" s="13" t="s">
        <v>29</v>
      </c>
      <c r="B327" s="13" t="s">
        <v>30</v>
      </c>
      <c r="C327" s="13">
        <v>506398</v>
      </c>
      <c r="D327" s="13">
        <v>100899593</v>
      </c>
      <c r="J327" s="13"/>
      <c r="K327" s="13"/>
      <c r="L327" s="13"/>
      <c r="M327" s="13"/>
    </row>
    <row r="328" spans="1:13" x14ac:dyDescent="0.3">
      <c r="A328" t="s">
        <v>2167</v>
      </c>
      <c r="B328" t="s">
        <v>2168</v>
      </c>
      <c r="C328">
        <v>120171925</v>
      </c>
      <c r="D328">
        <v>120172000</v>
      </c>
      <c r="E328" t="s">
        <v>2279</v>
      </c>
      <c r="G328" t="s">
        <v>2198</v>
      </c>
      <c r="H328" t="s">
        <v>2280</v>
      </c>
      <c r="I328" t="s">
        <v>2281</v>
      </c>
      <c r="J328" t="s">
        <v>2200</v>
      </c>
    </row>
    <row r="329" spans="1:13" x14ac:dyDescent="0.3">
      <c r="A329" t="s">
        <v>2169</v>
      </c>
      <c r="B329" t="s">
        <v>2168</v>
      </c>
      <c r="C329">
        <v>120171925</v>
      </c>
      <c r="D329">
        <v>120172001</v>
      </c>
      <c r="E329" t="s">
        <v>2282</v>
      </c>
      <c r="G329" t="s">
        <v>2198</v>
      </c>
      <c r="H329" t="s">
        <v>2283</v>
      </c>
      <c r="I329" t="s">
        <v>2284</v>
      </c>
      <c r="J329" t="s">
        <v>2200</v>
      </c>
    </row>
    <row r="330" spans="1:13" x14ac:dyDescent="0.3">
      <c r="A330" t="s">
        <v>192</v>
      </c>
      <c r="B330" t="s">
        <v>193</v>
      </c>
      <c r="C330">
        <v>7498602</v>
      </c>
      <c r="D330">
        <v>101361978</v>
      </c>
      <c r="E330" t="s">
        <v>194</v>
      </c>
      <c r="F330" t="s">
        <v>135</v>
      </c>
      <c r="G330" t="s">
        <v>195</v>
      </c>
      <c r="J330" s="13"/>
      <c r="K330" s="13"/>
      <c r="L330" s="13"/>
      <c r="M330" s="13"/>
    </row>
    <row r="331" spans="1:13" x14ac:dyDescent="0.3">
      <c r="A331" s="13" t="s">
        <v>96</v>
      </c>
      <c r="B331" s="13" t="s">
        <v>97</v>
      </c>
      <c r="C331" s="13">
        <v>7463975</v>
      </c>
      <c r="D331" s="13">
        <v>101334629</v>
      </c>
      <c r="J331" s="13"/>
      <c r="K331" s="13"/>
      <c r="L331" s="13"/>
      <c r="M331" s="13"/>
    </row>
    <row r="332" spans="1:13" x14ac:dyDescent="0.3">
      <c r="A332" s="13" t="s">
        <v>101</v>
      </c>
      <c r="B332" s="13" t="s">
        <v>97</v>
      </c>
      <c r="C332" s="13">
        <v>7463975</v>
      </c>
      <c r="D332" s="13">
        <v>101203094</v>
      </c>
      <c r="J332" s="13"/>
      <c r="K332" s="13"/>
      <c r="L332" s="13"/>
      <c r="M332" s="13"/>
    </row>
    <row r="333" spans="1:13" x14ac:dyDescent="0.3">
      <c r="A333" s="13" t="s">
        <v>102</v>
      </c>
      <c r="B333" s="13" t="s">
        <v>97</v>
      </c>
      <c r="C333" s="13">
        <v>7463975</v>
      </c>
      <c r="D333" s="13">
        <v>101203092</v>
      </c>
      <c r="J333" s="13"/>
      <c r="K333" s="13"/>
      <c r="L333" s="13"/>
      <c r="M333" s="13"/>
    </row>
    <row r="334" spans="1:13" x14ac:dyDescent="0.3">
      <c r="A334" s="13" t="s">
        <v>105</v>
      </c>
      <c r="B334" s="13" t="s">
        <v>97</v>
      </c>
      <c r="C334" s="13">
        <v>7463975</v>
      </c>
      <c r="D334" s="13">
        <v>101203093</v>
      </c>
      <c r="J334" s="13"/>
      <c r="K334" s="13"/>
      <c r="L334" s="13"/>
      <c r="M334" s="13"/>
    </row>
    <row r="335" spans="1:13" x14ac:dyDescent="0.3">
      <c r="A335" t="s">
        <v>828</v>
      </c>
      <c r="B335" t="s">
        <v>97</v>
      </c>
      <c r="C335">
        <v>7463975</v>
      </c>
      <c r="D335">
        <v>101382865</v>
      </c>
      <c r="E335" t="s">
        <v>135</v>
      </c>
      <c r="F335" t="s">
        <v>135</v>
      </c>
      <c r="G335" t="s">
        <v>829</v>
      </c>
      <c r="I335" t="s">
        <v>1101</v>
      </c>
      <c r="J335" t="s">
        <v>1102</v>
      </c>
    </row>
    <row r="336" spans="1:13" x14ac:dyDescent="0.3">
      <c r="A336" t="s">
        <v>830</v>
      </c>
      <c r="B336" t="s">
        <v>97</v>
      </c>
      <c r="C336">
        <v>7463975</v>
      </c>
      <c r="D336">
        <v>101382866</v>
      </c>
      <c r="E336" t="s">
        <v>135</v>
      </c>
      <c r="F336" t="s">
        <v>135</v>
      </c>
      <c r="G336" t="s">
        <v>829</v>
      </c>
      <c r="I336" t="s">
        <v>1103</v>
      </c>
      <c r="J336" t="s">
        <v>1104</v>
      </c>
    </row>
    <row r="337" spans="1:13" x14ac:dyDescent="0.3">
      <c r="A337" s="13" t="s">
        <v>50</v>
      </c>
      <c r="B337" s="13" t="s">
        <v>51</v>
      </c>
      <c r="C337" s="13">
        <v>7434304</v>
      </c>
      <c r="D337" s="13">
        <v>101064484</v>
      </c>
      <c r="J337" s="13"/>
      <c r="K337" s="13"/>
      <c r="L337" s="13"/>
      <c r="M337" s="13"/>
    </row>
    <row r="338" spans="1:13" x14ac:dyDescent="0.3">
      <c r="A338" t="s">
        <v>2741</v>
      </c>
      <c r="B338" t="s">
        <v>2742</v>
      </c>
      <c r="C338">
        <v>7461846</v>
      </c>
      <c r="D338">
        <v>100993182</v>
      </c>
      <c r="E338" t="s">
        <v>2743</v>
      </c>
      <c r="H338" t="s">
        <v>2749</v>
      </c>
      <c r="I338" t="s">
        <v>1175</v>
      </c>
      <c r="K338" t="s">
        <v>2750</v>
      </c>
      <c r="M338" t="s">
        <v>2751</v>
      </c>
    </row>
    <row r="339" spans="1:13" x14ac:dyDescent="0.3">
      <c r="A339" t="s">
        <v>2744</v>
      </c>
      <c r="B339" t="s">
        <v>2742</v>
      </c>
      <c r="C339">
        <v>7461846</v>
      </c>
      <c r="D339">
        <v>120056369</v>
      </c>
      <c r="E339" t="s">
        <v>2745</v>
      </c>
      <c r="F339" t="s">
        <v>2746</v>
      </c>
      <c r="H339" t="s">
        <v>2752</v>
      </c>
      <c r="I339" t="s">
        <v>2753</v>
      </c>
      <c r="J339" t="s">
        <v>2200</v>
      </c>
      <c r="L339" t="s">
        <v>2750</v>
      </c>
    </row>
    <row r="340" spans="1:13" x14ac:dyDescent="0.3">
      <c r="A340" t="s">
        <v>2747</v>
      </c>
      <c r="B340" t="s">
        <v>2742</v>
      </c>
      <c r="C340">
        <v>7461846</v>
      </c>
      <c r="D340">
        <v>120056760</v>
      </c>
      <c r="E340" t="s">
        <v>2748</v>
      </c>
      <c r="H340" t="s">
        <v>1141</v>
      </c>
      <c r="I340" t="s">
        <v>2616</v>
      </c>
      <c r="J340" t="s">
        <v>2200</v>
      </c>
      <c r="L340" t="s">
        <v>2750</v>
      </c>
    </row>
    <row r="341" spans="1:13" x14ac:dyDescent="0.3">
      <c r="A341" t="s">
        <v>1995</v>
      </c>
      <c r="B341" t="s">
        <v>1996</v>
      </c>
      <c r="C341">
        <v>110012649</v>
      </c>
      <c r="D341">
        <v>120171892</v>
      </c>
      <c r="H341" s="15" t="str">
        <f>IF(ISBLANK(A341),"",IFERROR(LEFT(A341,SEARCH(" ",A341)-1),""))</f>
        <v>Tyler</v>
      </c>
      <c r="I341" s="15" t="str">
        <f>IF(ISBLANK(A341),"",IFERROR(RIGHT(A341,LEN(A341)-SEARCH(" ",A341)),""))</f>
        <v>Cooper</v>
      </c>
    </row>
    <row r="342" spans="1:13" x14ac:dyDescent="0.3">
      <c r="A342" t="s">
        <v>452</v>
      </c>
      <c r="B342" t="s">
        <v>453</v>
      </c>
      <c r="C342">
        <v>7462119</v>
      </c>
      <c r="D342">
        <v>101022791</v>
      </c>
      <c r="E342" t="s">
        <v>454</v>
      </c>
      <c r="F342" t="s">
        <v>455</v>
      </c>
      <c r="G342" t="s">
        <v>456</v>
      </c>
    </row>
    <row r="343" spans="1:13" x14ac:dyDescent="0.3">
      <c r="A343" t="s">
        <v>2865</v>
      </c>
      <c r="B343" t="s">
        <v>2866</v>
      </c>
      <c r="C343">
        <v>120172600</v>
      </c>
      <c r="D343">
        <v>120172601</v>
      </c>
      <c r="E343" t="s">
        <v>2867</v>
      </c>
      <c r="H343" t="s">
        <v>1164</v>
      </c>
      <c r="I343" t="s">
        <v>2897</v>
      </c>
      <c r="J343" t="s">
        <v>2898</v>
      </c>
      <c r="L343" t="s">
        <v>2899</v>
      </c>
      <c r="M343" t="s">
        <v>2900</v>
      </c>
    </row>
    <row r="344" spans="1:13" x14ac:dyDescent="0.3">
      <c r="A344" s="13" t="s">
        <v>98</v>
      </c>
      <c r="B344" s="13" t="s">
        <v>99</v>
      </c>
      <c r="C344" s="13">
        <v>7461439</v>
      </c>
      <c r="D344" s="13">
        <v>101188259</v>
      </c>
      <c r="J344" s="13"/>
      <c r="K344" s="13"/>
      <c r="L344" s="13"/>
      <c r="M344" s="13"/>
    </row>
    <row r="345" spans="1:13" x14ac:dyDescent="0.3">
      <c r="A345" s="13" t="s">
        <v>100</v>
      </c>
      <c r="B345" s="13" t="s">
        <v>99</v>
      </c>
      <c r="C345" s="13">
        <v>7461439</v>
      </c>
      <c r="D345" s="13">
        <v>101334635</v>
      </c>
      <c r="J345" s="13"/>
      <c r="K345" s="13"/>
      <c r="L345" s="13"/>
      <c r="M345" s="13"/>
    </row>
    <row r="346" spans="1:13" x14ac:dyDescent="0.3">
      <c r="A346" t="s">
        <v>196</v>
      </c>
      <c r="B346" t="s">
        <v>197</v>
      </c>
      <c r="C346">
        <v>7498606</v>
      </c>
      <c r="D346">
        <v>101361979</v>
      </c>
      <c r="E346" t="s">
        <v>198</v>
      </c>
      <c r="F346" t="s">
        <v>135</v>
      </c>
      <c r="G346" t="s">
        <v>199</v>
      </c>
      <c r="J346" s="13"/>
      <c r="K346" s="13"/>
      <c r="L346" s="13"/>
      <c r="M346" s="13"/>
    </row>
    <row r="347" spans="1:13" x14ac:dyDescent="0.3">
      <c r="A347" t="s">
        <v>200</v>
      </c>
      <c r="B347" t="s">
        <v>197</v>
      </c>
      <c r="C347">
        <v>7498606</v>
      </c>
      <c r="D347">
        <v>101361980</v>
      </c>
      <c r="E347" t="s">
        <v>201</v>
      </c>
      <c r="F347" t="s">
        <v>135</v>
      </c>
      <c r="G347" t="s">
        <v>199</v>
      </c>
      <c r="J347" s="13"/>
      <c r="K347" s="13"/>
      <c r="L347" s="13"/>
      <c r="M347" s="13"/>
    </row>
    <row r="348" spans="1:13" x14ac:dyDescent="0.3">
      <c r="A348" t="s">
        <v>202</v>
      </c>
      <c r="B348" t="s">
        <v>197</v>
      </c>
      <c r="C348">
        <v>7498606</v>
      </c>
      <c r="D348">
        <v>101361981</v>
      </c>
      <c r="E348" t="s">
        <v>203</v>
      </c>
      <c r="F348" t="s">
        <v>135</v>
      </c>
      <c r="G348" t="s">
        <v>199</v>
      </c>
      <c r="J348" s="13"/>
      <c r="K348" s="13"/>
      <c r="L348" s="13"/>
      <c r="M348" s="13"/>
    </row>
    <row r="349" spans="1:13" x14ac:dyDescent="0.3">
      <c r="A349" s="13" t="s">
        <v>21</v>
      </c>
      <c r="B349" s="13" t="s">
        <v>22</v>
      </c>
      <c r="C349" s="13"/>
      <c r="D349" s="13">
        <v>101216950</v>
      </c>
      <c r="J349" s="13"/>
      <c r="K349" s="13"/>
      <c r="L349" s="13"/>
      <c r="M349" s="13"/>
    </row>
    <row r="350" spans="1:13" x14ac:dyDescent="0.3">
      <c r="A350" t="s">
        <v>2166</v>
      </c>
      <c r="B350" t="s">
        <v>2165</v>
      </c>
      <c r="C350">
        <v>120171924</v>
      </c>
      <c r="D350">
        <v>120171999</v>
      </c>
      <c r="E350" t="s">
        <v>2274</v>
      </c>
      <c r="G350" t="s">
        <v>2198</v>
      </c>
      <c r="H350" t="s">
        <v>1115</v>
      </c>
      <c r="I350" t="s">
        <v>2275</v>
      </c>
      <c r="J350" t="s">
        <v>2200</v>
      </c>
    </row>
    <row r="351" spans="1:13" x14ac:dyDescent="0.3">
      <c r="A351" t="s">
        <v>2164</v>
      </c>
      <c r="B351" t="s">
        <v>2165</v>
      </c>
      <c r="C351">
        <v>120171924</v>
      </c>
      <c r="D351">
        <v>120171998</v>
      </c>
      <c r="E351" t="s">
        <v>2276</v>
      </c>
      <c r="G351" t="s">
        <v>2198</v>
      </c>
      <c r="H351" t="s">
        <v>2277</v>
      </c>
      <c r="I351" t="s">
        <v>2278</v>
      </c>
      <c r="J351" t="s">
        <v>2200</v>
      </c>
    </row>
    <row r="352" spans="1:13" x14ac:dyDescent="0.3">
      <c r="A352" t="s">
        <v>892</v>
      </c>
      <c r="B352" t="s">
        <v>893</v>
      </c>
      <c r="C352">
        <v>7426293</v>
      </c>
      <c r="D352">
        <v>101216921</v>
      </c>
      <c r="E352" t="s">
        <v>894</v>
      </c>
      <c r="F352" t="s">
        <v>135</v>
      </c>
      <c r="G352" t="s">
        <v>895</v>
      </c>
      <c r="H352" t="s">
        <v>1143</v>
      </c>
      <c r="I352" t="s">
        <v>1144</v>
      </c>
    </row>
    <row r="353" spans="1:13" x14ac:dyDescent="0.3">
      <c r="A353" t="s">
        <v>896</v>
      </c>
      <c r="B353" t="s">
        <v>893</v>
      </c>
      <c r="C353">
        <v>7426293</v>
      </c>
      <c r="D353">
        <v>101189843</v>
      </c>
      <c r="E353" t="s">
        <v>897</v>
      </c>
      <c r="F353" t="s">
        <v>135</v>
      </c>
      <c r="G353" t="s">
        <v>895</v>
      </c>
      <c r="H353" t="s">
        <v>1084</v>
      </c>
      <c r="I353" t="s">
        <v>1145</v>
      </c>
    </row>
    <row r="354" spans="1:13" x14ac:dyDescent="0.3">
      <c r="A354" t="s">
        <v>898</v>
      </c>
      <c r="B354" t="s">
        <v>893</v>
      </c>
      <c r="C354">
        <v>7426293</v>
      </c>
      <c r="D354">
        <v>101216916</v>
      </c>
      <c r="E354" t="s">
        <v>899</v>
      </c>
      <c r="F354" t="s">
        <v>900</v>
      </c>
      <c r="G354" t="s">
        <v>895</v>
      </c>
      <c r="I354" t="s">
        <v>1146</v>
      </c>
      <c r="J354" t="s">
        <v>1147</v>
      </c>
    </row>
    <row r="355" spans="1:13" x14ac:dyDescent="0.3">
      <c r="A355" t="s">
        <v>901</v>
      </c>
      <c r="B355" t="s">
        <v>893</v>
      </c>
      <c r="C355">
        <v>7426293</v>
      </c>
      <c r="D355">
        <v>101252635</v>
      </c>
      <c r="E355" t="s">
        <v>135</v>
      </c>
      <c r="F355" t="s">
        <v>135</v>
      </c>
      <c r="G355" t="s">
        <v>895</v>
      </c>
      <c r="I355" t="s">
        <v>1148</v>
      </c>
      <c r="J355" t="s">
        <v>1149</v>
      </c>
    </row>
    <row r="356" spans="1:13" x14ac:dyDescent="0.3">
      <c r="A356" t="s">
        <v>902</v>
      </c>
      <c r="B356" t="s">
        <v>893</v>
      </c>
      <c r="C356">
        <v>7426293</v>
      </c>
      <c r="D356">
        <v>101252633</v>
      </c>
      <c r="E356" t="s">
        <v>135</v>
      </c>
      <c r="F356" t="s">
        <v>135</v>
      </c>
      <c r="G356" t="s">
        <v>895</v>
      </c>
      <c r="I356" t="s">
        <v>1150</v>
      </c>
      <c r="J356" t="s">
        <v>1151</v>
      </c>
    </row>
    <row r="357" spans="1:13" x14ac:dyDescent="0.3">
      <c r="A357" t="s">
        <v>903</v>
      </c>
      <c r="B357" t="s">
        <v>893</v>
      </c>
      <c r="C357">
        <v>7426293</v>
      </c>
      <c r="D357">
        <v>101216920</v>
      </c>
      <c r="E357" t="s">
        <v>904</v>
      </c>
      <c r="F357" t="s">
        <v>135</v>
      </c>
      <c r="G357" t="s">
        <v>895</v>
      </c>
      <c r="I357" t="s">
        <v>1113</v>
      </c>
      <c r="J357" t="s">
        <v>1152</v>
      </c>
    </row>
    <row r="358" spans="1:13" x14ac:dyDescent="0.3">
      <c r="A358" t="s">
        <v>905</v>
      </c>
      <c r="B358" t="s">
        <v>893</v>
      </c>
      <c r="C358">
        <v>7426293</v>
      </c>
      <c r="D358">
        <v>101023394</v>
      </c>
      <c r="E358" t="s">
        <v>906</v>
      </c>
      <c r="F358" t="s">
        <v>907</v>
      </c>
      <c r="G358" t="s">
        <v>895</v>
      </c>
      <c r="I358" t="s">
        <v>1153</v>
      </c>
      <c r="J358" t="s">
        <v>1154</v>
      </c>
    </row>
    <row r="359" spans="1:13" x14ac:dyDescent="0.3">
      <c r="A359" t="s">
        <v>908</v>
      </c>
      <c r="B359" t="s">
        <v>893</v>
      </c>
      <c r="C359">
        <v>7426293</v>
      </c>
      <c r="D359">
        <v>101216919</v>
      </c>
      <c r="E359" t="s">
        <v>909</v>
      </c>
      <c r="F359" t="s">
        <v>900</v>
      </c>
      <c r="G359" t="s">
        <v>895</v>
      </c>
      <c r="I359" t="s">
        <v>1155</v>
      </c>
      <c r="J359" t="s">
        <v>1156</v>
      </c>
    </row>
    <row r="360" spans="1:13" x14ac:dyDescent="0.3">
      <c r="A360" t="s">
        <v>910</v>
      </c>
      <c r="B360" t="s">
        <v>893</v>
      </c>
      <c r="C360">
        <v>7426293</v>
      </c>
      <c r="D360">
        <v>101216914</v>
      </c>
      <c r="E360" t="s">
        <v>911</v>
      </c>
      <c r="F360" t="s">
        <v>912</v>
      </c>
      <c r="G360" t="s">
        <v>895</v>
      </c>
      <c r="I360" t="s">
        <v>1157</v>
      </c>
      <c r="J360" t="s">
        <v>1158</v>
      </c>
    </row>
    <row r="361" spans="1:13" x14ac:dyDescent="0.3">
      <c r="A361" t="s">
        <v>1064</v>
      </c>
      <c r="B361" t="s">
        <v>893</v>
      </c>
      <c r="C361">
        <v>7426293</v>
      </c>
      <c r="D361">
        <v>101407112</v>
      </c>
      <c r="E361" s="14" t="s">
        <v>1065</v>
      </c>
      <c r="G361" t="s">
        <v>895</v>
      </c>
      <c r="H361" t="s">
        <v>1270</v>
      </c>
      <c r="I361" t="s">
        <v>1271</v>
      </c>
    </row>
    <row r="362" spans="1:13" x14ac:dyDescent="0.3">
      <c r="A362" t="s">
        <v>927</v>
      </c>
      <c r="B362" t="s">
        <v>928</v>
      </c>
      <c r="C362">
        <v>7426293</v>
      </c>
      <c r="D362">
        <v>101400041</v>
      </c>
      <c r="E362" t="s">
        <v>135</v>
      </c>
      <c r="F362" t="s">
        <v>135</v>
      </c>
      <c r="G362" t="s">
        <v>895</v>
      </c>
      <c r="I362" t="s">
        <v>1173</v>
      </c>
      <c r="J362" t="s">
        <v>1174</v>
      </c>
    </row>
    <row r="363" spans="1:13" x14ac:dyDescent="0.3">
      <c r="A363" t="s">
        <v>929</v>
      </c>
      <c r="B363" t="s">
        <v>928</v>
      </c>
      <c r="C363">
        <v>7426293</v>
      </c>
      <c r="D363">
        <v>101400039</v>
      </c>
      <c r="E363" t="s">
        <v>135</v>
      </c>
      <c r="F363" t="s">
        <v>135</v>
      </c>
      <c r="G363" t="s">
        <v>895</v>
      </c>
      <c r="I363" t="s">
        <v>1175</v>
      </c>
      <c r="J363" t="s">
        <v>1176</v>
      </c>
    </row>
    <row r="364" spans="1:13" x14ac:dyDescent="0.3">
      <c r="A364" t="s">
        <v>930</v>
      </c>
      <c r="B364" t="s">
        <v>928</v>
      </c>
      <c r="C364">
        <v>7426293</v>
      </c>
      <c r="D364">
        <v>101400043</v>
      </c>
      <c r="E364" t="s">
        <v>135</v>
      </c>
      <c r="F364" t="s">
        <v>135</v>
      </c>
      <c r="G364" t="s">
        <v>895</v>
      </c>
      <c r="I364" t="s">
        <v>1162</v>
      </c>
      <c r="J364" t="s">
        <v>1177</v>
      </c>
    </row>
    <row r="365" spans="1:13" x14ac:dyDescent="0.3">
      <c r="A365" t="s">
        <v>931</v>
      </c>
      <c r="B365" t="s">
        <v>928</v>
      </c>
      <c r="C365">
        <v>7426293</v>
      </c>
      <c r="D365">
        <v>101400042</v>
      </c>
      <c r="E365" t="s">
        <v>135</v>
      </c>
      <c r="F365" t="s">
        <v>135</v>
      </c>
      <c r="G365" t="s">
        <v>895</v>
      </c>
      <c r="I365" t="s">
        <v>1178</v>
      </c>
      <c r="J365" t="s">
        <v>1179</v>
      </c>
    </row>
    <row r="366" spans="1:13" x14ac:dyDescent="0.3">
      <c r="A366" s="13" t="s">
        <v>40</v>
      </c>
      <c r="B366" s="13" t="s">
        <v>41</v>
      </c>
      <c r="C366" s="13">
        <v>7488709</v>
      </c>
      <c r="D366" s="13">
        <v>101314845</v>
      </c>
      <c r="J366" s="13"/>
      <c r="K366" s="13"/>
      <c r="L366" s="13"/>
      <c r="M366" s="13"/>
    </row>
    <row r="367" spans="1:13" x14ac:dyDescent="0.3">
      <c r="A367" t="s">
        <v>2205</v>
      </c>
      <c r="B367" t="s">
        <v>2206</v>
      </c>
      <c r="C367">
        <v>120171912</v>
      </c>
      <c r="D367">
        <v>120171997</v>
      </c>
      <c r="E367" t="s">
        <v>2207</v>
      </c>
      <c r="G367" t="s">
        <v>2198</v>
      </c>
      <c r="H367" t="s">
        <v>1238</v>
      </c>
      <c r="I367" t="s">
        <v>2208</v>
      </c>
      <c r="J367" t="s">
        <v>2200</v>
      </c>
    </row>
    <row r="368" spans="1:13" x14ac:dyDescent="0.3">
      <c r="A368" t="s">
        <v>2162</v>
      </c>
      <c r="B368" t="s">
        <v>2163</v>
      </c>
      <c r="C368">
        <v>120171923</v>
      </c>
      <c r="D368">
        <v>120171996</v>
      </c>
      <c r="E368" t="s">
        <v>2271</v>
      </c>
      <c r="G368" t="s">
        <v>2198</v>
      </c>
      <c r="H368" t="s">
        <v>2272</v>
      </c>
      <c r="I368" t="s">
        <v>2273</v>
      </c>
      <c r="J368" t="s">
        <v>2200</v>
      </c>
    </row>
    <row r="369" spans="1:10" x14ac:dyDescent="0.3">
      <c r="A369" t="s">
        <v>2161</v>
      </c>
      <c r="B369" t="s">
        <v>2196</v>
      </c>
      <c r="C369">
        <v>120171910</v>
      </c>
      <c r="D369">
        <v>120171995</v>
      </c>
      <c r="E369" t="s">
        <v>2197</v>
      </c>
      <c r="G369" t="s">
        <v>2198</v>
      </c>
      <c r="H369" t="s">
        <v>1161</v>
      </c>
      <c r="I369" t="s">
        <v>2199</v>
      </c>
      <c r="J369" t="s">
        <v>2200</v>
      </c>
    </row>
    <row r="370" spans="1:10" x14ac:dyDescent="0.3">
      <c r="A370" t="s">
        <v>2160</v>
      </c>
      <c r="B370" t="s">
        <v>2196</v>
      </c>
      <c r="C370">
        <v>120171910</v>
      </c>
      <c r="D370">
        <v>120171994</v>
      </c>
      <c r="E370" t="s">
        <v>2201</v>
      </c>
      <c r="G370" t="s">
        <v>2198</v>
      </c>
      <c r="H370" t="s">
        <v>1097</v>
      </c>
      <c r="I370" t="s">
        <v>2202</v>
      </c>
      <c r="J370" t="s">
        <v>2200</v>
      </c>
    </row>
    <row r="371" spans="1:10" x14ac:dyDescent="0.3">
      <c r="A371" t="s">
        <v>406</v>
      </c>
      <c r="B371" t="s">
        <v>407</v>
      </c>
      <c r="C371">
        <v>7439496</v>
      </c>
      <c r="D371">
        <v>101266288</v>
      </c>
      <c r="E371" t="s">
        <v>408</v>
      </c>
      <c r="F371" t="s">
        <v>135</v>
      </c>
      <c r="G371" t="s">
        <v>409</v>
      </c>
    </row>
    <row r="372" spans="1:10" x14ac:dyDescent="0.3">
      <c r="A372" t="s">
        <v>410</v>
      </c>
      <c r="B372" t="s">
        <v>407</v>
      </c>
      <c r="C372">
        <v>7439496</v>
      </c>
      <c r="D372">
        <v>101266286</v>
      </c>
      <c r="E372" t="s">
        <v>411</v>
      </c>
      <c r="F372" t="s">
        <v>135</v>
      </c>
      <c r="G372" t="s">
        <v>409</v>
      </c>
    </row>
    <row r="373" spans="1:10" x14ac:dyDescent="0.3">
      <c r="A373" t="s">
        <v>412</v>
      </c>
      <c r="B373" t="s">
        <v>407</v>
      </c>
      <c r="C373">
        <v>7439496</v>
      </c>
      <c r="D373">
        <v>101352950</v>
      </c>
      <c r="E373" t="s">
        <v>413</v>
      </c>
      <c r="F373" t="s">
        <v>414</v>
      </c>
      <c r="G373" t="s">
        <v>409</v>
      </c>
    </row>
    <row r="374" spans="1:10" x14ac:dyDescent="0.3">
      <c r="A374" t="s">
        <v>415</v>
      </c>
      <c r="B374" t="s">
        <v>407</v>
      </c>
      <c r="C374">
        <v>7439496</v>
      </c>
      <c r="D374">
        <v>101266291</v>
      </c>
      <c r="E374" t="s">
        <v>416</v>
      </c>
      <c r="F374" t="s">
        <v>135</v>
      </c>
      <c r="G374" t="s">
        <v>409</v>
      </c>
    </row>
    <row r="375" spans="1:10" x14ac:dyDescent="0.3">
      <c r="A375" t="s">
        <v>417</v>
      </c>
      <c r="B375" t="s">
        <v>407</v>
      </c>
      <c r="C375">
        <v>7439496</v>
      </c>
      <c r="D375">
        <v>101266283</v>
      </c>
      <c r="E375" t="s">
        <v>418</v>
      </c>
      <c r="F375" t="s">
        <v>135</v>
      </c>
      <c r="G375" t="s">
        <v>409</v>
      </c>
    </row>
    <row r="376" spans="1:10" x14ac:dyDescent="0.3">
      <c r="A376" t="s">
        <v>419</v>
      </c>
      <c r="B376" t="s">
        <v>407</v>
      </c>
      <c r="C376">
        <v>7439496</v>
      </c>
      <c r="D376">
        <v>101085826</v>
      </c>
      <c r="E376" t="s">
        <v>420</v>
      </c>
      <c r="F376" t="s">
        <v>135</v>
      </c>
      <c r="G376" t="s">
        <v>409</v>
      </c>
    </row>
    <row r="377" spans="1:10" x14ac:dyDescent="0.3">
      <c r="A377" t="s">
        <v>421</v>
      </c>
      <c r="B377" t="s">
        <v>407</v>
      </c>
      <c r="C377">
        <v>7439496</v>
      </c>
      <c r="D377">
        <v>101266290</v>
      </c>
      <c r="E377" t="s">
        <v>135</v>
      </c>
      <c r="F377" t="s">
        <v>135</v>
      </c>
      <c r="G377" t="s">
        <v>409</v>
      </c>
    </row>
    <row r="378" spans="1:10" x14ac:dyDescent="0.3">
      <c r="A378" t="s">
        <v>422</v>
      </c>
      <c r="B378" t="s">
        <v>407</v>
      </c>
      <c r="C378">
        <v>7439496</v>
      </c>
      <c r="D378">
        <v>101352954</v>
      </c>
      <c r="E378" t="s">
        <v>423</v>
      </c>
      <c r="F378" t="s">
        <v>135</v>
      </c>
      <c r="G378" t="s">
        <v>409</v>
      </c>
    </row>
    <row r="379" spans="1:10" x14ac:dyDescent="0.3">
      <c r="A379" t="s">
        <v>424</v>
      </c>
      <c r="B379" t="s">
        <v>407</v>
      </c>
      <c r="C379">
        <v>7439496</v>
      </c>
      <c r="D379">
        <v>101264894</v>
      </c>
      <c r="E379" t="s">
        <v>425</v>
      </c>
      <c r="F379" t="s">
        <v>135</v>
      </c>
      <c r="G379" t="s">
        <v>409</v>
      </c>
    </row>
    <row r="380" spans="1:10" x14ac:dyDescent="0.3">
      <c r="A380" t="s">
        <v>426</v>
      </c>
      <c r="B380" t="s">
        <v>407</v>
      </c>
      <c r="C380">
        <v>7439496</v>
      </c>
      <c r="D380">
        <v>101266282</v>
      </c>
      <c r="E380" t="s">
        <v>427</v>
      </c>
      <c r="F380" t="s">
        <v>135</v>
      </c>
      <c r="G380" t="s">
        <v>409</v>
      </c>
    </row>
    <row r="381" spans="1:10" x14ac:dyDescent="0.3">
      <c r="A381" t="s">
        <v>428</v>
      </c>
      <c r="B381" t="s">
        <v>407</v>
      </c>
      <c r="C381">
        <v>7439496</v>
      </c>
      <c r="D381">
        <v>101266289</v>
      </c>
      <c r="E381" t="s">
        <v>429</v>
      </c>
      <c r="F381" t="s">
        <v>135</v>
      </c>
      <c r="G381" t="s">
        <v>409</v>
      </c>
    </row>
    <row r="382" spans="1:10" x14ac:dyDescent="0.3">
      <c r="A382" t="s">
        <v>430</v>
      </c>
      <c r="B382" t="s">
        <v>407</v>
      </c>
      <c r="C382">
        <v>7439496</v>
      </c>
      <c r="D382">
        <v>101266017</v>
      </c>
      <c r="E382" t="s">
        <v>431</v>
      </c>
      <c r="F382" t="s">
        <v>135</v>
      </c>
      <c r="G382" t="s">
        <v>409</v>
      </c>
    </row>
    <row r="383" spans="1:10" x14ac:dyDescent="0.3">
      <c r="A383" t="s">
        <v>432</v>
      </c>
      <c r="B383" t="s">
        <v>407</v>
      </c>
      <c r="C383">
        <v>7439496</v>
      </c>
      <c r="D383">
        <v>101266015</v>
      </c>
      <c r="E383" t="s">
        <v>433</v>
      </c>
      <c r="F383" t="s">
        <v>135</v>
      </c>
      <c r="G383" t="s">
        <v>409</v>
      </c>
    </row>
    <row r="384" spans="1:10" x14ac:dyDescent="0.3">
      <c r="A384" t="s">
        <v>434</v>
      </c>
      <c r="B384" t="s">
        <v>407</v>
      </c>
      <c r="C384">
        <v>7439496</v>
      </c>
      <c r="D384">
        <v>101266287</v>
      </c>
      <c r="E384" t="s">
        <v>435</v>
      </c>
      <c r="F384" t="s">
        <v>135</v>
      </c>
      <c r="G384" t="s">
        <v>409</v>
      </c>
    </row>
    <row r="385" spans="1:13" x14ac:dyDescent="0.3">
      <c r="A385" t="s">
        <v>436</v>
      </c>
      <c r="B385" t="s">
        <v>407</v>
      </c>
      <c r="C385">
        <v>7439496</v>
      </c>
      <c r="D385">
        <v>101266278</v>
      </c>
      <c r="E385" t="s">
        <v>437</v>
      </c>
      <c r="F385" t="s">
        <v>135</v>
      </c>
      <c r="G385" t="s">
        <v>409</v>
      </c>
    </row>
    <row r="386" spans="1:13" x14ac:dyDescent="0.3">
      <c r="A386" t="s">
        <v>438</v>
      </c>
      <c r="B386" t="s">
        <v>407</v>
      </c>
      <c r="C386">
        <v>7439496</v>
      </c>
      <c r="D386">
        <v>101266276</v>
      </c>
      <c r="E386" t="s">
        <v>439</v>
      </c>
      <c r="F386" t="s">
        <v>135</v>
      </c>
      <c r="G386" t="s">
        <v>409</v>
      </c>
    </row>
    <row r="387" spans="1:13" x14ac:dyDescent="0.3">
      <c r="A387" t="s">
        <v>440</v>
      </c>
      <c r="B387" t="s">
        <v>407</v>
      </c>
      <c r="C387">
        <v>7439496</v>
      </c>
      <c r="D387">
        <v>101266284</v>
      </c>
      <c r="E387" t="s">
        <v>441</v>
      </c>
      <c r="F387" t="s">
        <v>135</v>
      </c>
      <c r="G387" t="s">
        <v>409</v>
      </c>
    </row>
    <row r="388" spans="1:13" x14ac:dyDescent="0.3">
      <c r="A388" t="s">
        <v>442</v>
      </c>
      <c r="B388" t="s">
        <v>407</v>
      </c>
      <c r="C388">
        <v>7439496</v>
      </c>
      <c r="D388">
        <v>101266280</v>
      </c>
      <c r="E388" t="s">
        <v>443</v>
      </c>
      <c r="F388" t="s">
        <v>135</v>
      </c>
      <c r="G388" t="s">
        <v>409</v>
      </c>
    </row>
    <row r="389" spans="1:13" x14ac:dyDescent="0.3">
      <c r="A389" t="s">
        <v>444</v>
      </c>
      <c r="B389" t="s">
        <v>407</v>
      </c>
      <c r="C389">
        <v>7439496</v>
      </c>
      <c r="D389">
        <v>101266275</v>
      </c>
      <c r="E389" t="s">
        <v>445</v>
      </c>
      <c r="F389" t="s">
        <v>135</v>
      </c>
      <c r="G389" t="s">
        <v>409</v>
      </c>
    </row>
    <row r="390" spans="1:13" x14ac:dyDescent="0.3">
      <c r="A390" t="s">
        <v>446</v>
      </c>
      <c r="B390" t="s">
        <v>407</v>
      </c>
      <c r="C390">
        <v>7439496</v>
      </c>
      <c r="D390">
        <v>101290014</v>
      </c>
      <c r="E390" t="s">
        <v>447</v>
      </c>
      <c r="F390" t="s">
        <v>135</v>
      </c>
      <c r="G390" t="s">
        <v>409</v>
      </c>
    </row>
    <row r="391" spans="1:13" x14ac:dyDescent="0.3">
      <c r="A391" t="s">
        <v>448</v>
      </c>
      <c r="B391" t="s">
        <v>407</v>
      </c>
      <c r="C391">
        <v>7439496</v>
      </c>
      <c r="D391">
        <v>101266277</v>
      </c>
      <c r="E391" t="s">
        <v>449</v>
      </c>
      <c r="F391" t="s">
        <v>135</v>
      </c>
      <c r="G391" t="s">
        <v>409</v>
      </c>
    </row>
    <row r="392" spans="1:13" x14ac:dyDescent="0.3">
      <c r="A392" t="s">
        <v>450</v>
      </c>
      <c r="B392" t="s">
        <v>407</v>
      </c>
      <c r="C392">
        <v>7439496</v>
      </c>
      <c r="D392">
        <v>101266274</v>
      </c>
      <c r="E392" t="s">
        <v>451</v>
      </c>
      <c r="F392" t="s">
        <v>135</v>
      </c>
      <c r="G392" t="s">
        <v>409</v>
      </c>
    </row>
    <row r="393" spans="1:13" x14ac:dyDescent="0.3">
      <c r="A393" t="s">
        <v>831</v>
      </c>
      <c r="B393" t="s">
        <v>832</v>
      </c>
      <c r="C393">
        <v>7439496</v>
      </c>
      <c r="D393">
        <v>101378630</v>
      </c>
      <c r="E393" t="s">
        <v>833</v>
      </c>
      <c r="F393" t="s">
        <v>834</v>
      </c>
      <c r="G393" t="s">
        <v>409</v>
      </c>
      <c r="I393" t="s">
        <v>1105</v>
      </c>
      <c r="J393" t="s">
        <v>1106</v>
      </c>
    </row>
    <row r="394" spans="1:13" x14ac:dyDescent="0.3">
      <c r="A394" t="s">
        <v>1066</v>
      </c>
      <c r="B394" t="s">
        <v>832</v>
      </c>
      <c r="C394">
        <v>7439496</v>
      </c>
      <c r="D394">
        <v>101413754</v>
      </c>
      <c r="E394" s="14" t="s">
        <v>1067</v>
      </c>
      <c r="G394" t="s">
        <v>409</v>
      </c>
      <c r="H394" s="15" t="str">
        <f>IF(ISBLANK(A394),"",IFERROR(LEFT(A394,SEARCH(" ",A394)-1),""))</f>
        <v>Sean</v>
      </c>
      <c r="I394" s="15" t="str">
        <f>IF(ISBLANK(A394),"",IFERROR(RIGHT(A394,LEN(A394)-SEARCH(" ",A394)),""))</f>
        <v>Palka</v>
      </c>
    </row>
    <row r="395" spans="1:13" x14ac:dyDescent="0.3">
      <c r="A395" t="s">
        <v>1994</v>
      </c>
      <c r="B395" t="s">
        <v>407</v>
      </c>
      <c r="C395">
        <v>7439496</v>
      </c>
      <c r="D395">
        <v>120171891</v>
      </c>
      <c r="H395" s="15" t="str">
        <f>IF(ISBLANK(A395),"",IFERROR(LEFT(A395,SEARCH(" ",A395)-1),""))</f>
        <v>Caleb</v>
      </c>
      <c r="I395" s="15" t="str">
        <f>IF(ISBLANK(A395),"",IFERROR(RIGHT(A395,LEN(A395)-SEARCH(" ",A395)),""))</f>
        <v>Capps</v>
      </c>
    </row>
    <row r="396" spans="1:13" x14ac:dyDescent="0.3">
      <c r="A396" t="s">
        <v>204</v>
      </c>
      <c r="B396" t="s">
        <v>205</v>
      </c>
      <c r="C396">
        <v>7498607</v>
      </c>
      <c r="D396">
        <v>101361976</v>
      </c>
      <c r="E396" t="s">
        <v>206</v>
      </c>
      <c r="F396" t="s">
        <v>135</v>
      </c>
      <c r="G396" t="s">
        <v>207</v>
      </c>
      <c r="J396" s="13"/>
      <c r="K396" s="13"/>
      <c r="L396" s="13"/>
      <c r="M396" s="13"/>
    </row>
    <row r="397" spans="1:13" x14ac:dyDescent="0.3">
      <c r="A397" t="s">
        <v>208</v>
      </c>
      <c r="B397" t="s">
        <v>205</v>
      </c>
      <c r="C397">
        <v>7498607</v>
      </c>
      <c r="D397">
        <v>101361973</v>
      </c>
      <c r="E397" t="s">
        <v>209</v>
      </c>
      <c r="F397" t="s">
        <v>135</v>
      </c>
      <c r="G397" t="s">
        <v>207</v>
      </c>
      <c r="J397" s="13"/>
      <c r="K397" s="13"/>
      <c r="L397" s="13"/>
      <c r="M397" s="13"/>
    </row>
    <row r="398" spans="1:13" x14ac:dyDescent="0.3">
      <c r="A398" t="s">
        <v>210</v>
      </c>
      <c r="B398" t="s">
        <v>205</v>
      </c>
      <c r="C398">
        <v>7498607</v>
      </c>
      <c r="D398">
        <v>101361975</v>
      </c>
      <c r="E398" t="s">
        <v>211</v>
      </c>
      <c r="F398" t="s">
        <v>135</v>
      </c>
      <c r="G398" t="s">
        <v>207</v>
      </c>
      <c r="J398" s="13"/>
      <c r="K398" s="13"/>
      <c r="L398" s="13"/>
      <c r="M398" s="13"/>
    </row>
    <row r="399" spans="1:13" x14ac:dyDescent="0.3">
      <c r="A399" t="s">
        <v>212</v>
      </c>
      <c r="B399" t="s">
        <v>205</v>
      </c>
      <c r="C399">
        <v>7498607</v>
      </c>
      <c r="D399">
        <v>101361974</v>
      </c>
      <c r="E399" t="s">
        <v>213</v>
      </c>
      <c r="F399" t="s">
        <v>135</v>
      </c>
      <c r="G399" t="s">
        <v>207</v>
      </c>
      <c r="J399" s="13"/>
      <c r="K399" s="13"/>
      <c r="L399" s="13"/>
      <c r="M399" s="13"/>
    </row>
    <row r="400" spans="1:13" x14ac:dyDescent="0.3">
      <c r="A400" t="s">
        <v>2158</v>
      </c>
      <c r="B400" t="s">
        <v>2490</v>
      </c>
      <c r="C400">
        <v>7498609</v>
      </c>
      <c r="D400">
        <v>120171992</v>
      </c>
      <c r="E400" t="s">
        <v>2491</v>
      </c>
      <c r="G400" t="s">
        <v>2198</v>
      </c>
      <c r="H400" t="s">
        <v>2492</v>
      </c>
      <c r="I400" t="s">
        <v>2493</v>
      </c>
    </row>
    <row r="401" spans="1:13" x14ac:dyDescent="0.3">
      <c r="A401" t="s">
        <v>2157</v>
      </c>
      <c r="B401" t="s">
        <v>2490</v>
      </c>
      <c r="C401">
        <v>7498609</v>
      </c>
      <c r="D401">
        <v>101058735</v>
      </c>
      <c r="G401" t="s">
        <v>2198</v>
      </c>
      <c r="H401" t="s">
        <v>2259</v>
      </c>
      <c r="I401" t="s">
        <v>2494</v>
      </c>
      <c r="L401" t="s">
        <v>2495</v>
      </c>
    </row>
    <row r="402" spans="1:13" x14ac:dyDescent="0.3">
      <c r="A402" t="s">
        <v>2157</v>
      </c>
      <c r="B402" t="s">
        <v>2490</v>
      </c>
      <c r="C402">
        <v>7498609</v>
      </c>
      <c r="D402">
        <v>120171991</v>
      </c>
      <c r="E402" t="s">
        <v>2496</v>
      </c>
      <c r="G402" t="s">
        <v>2198</v>
      </c>
      <c r="H402" t="s">
        <v>2259</v>
      </c>
      <c r="I402" t="s">
        <v>2494</v>
      </c>
    </row>
    <row r="403" spans="1:13" x14ac:dyDescent="0.3">
      <c r="A403" t="s">
        <v>2156</v>
      </c>
      <c r="B403" t="s">
        <v>2490</v>
      </c>
      <c r="C403">
        <v>7498609</v>
      </c>
      <c r="D403">
        <v>120171990</v>
      </c>
      <c r="E403" t="s">
        <v>2497</v>
      </c>
      <c r="G403" t="s">
        <v>2198</v>
      </c>
      <c r="H403" t="s">
        <v>1097</v>
      </c>
      <c r="I403" t="s">
        <v>2498</v>
      </c>
    </row>
    <row r="404" spans="1:13" x14ac:dyDescent="0.3">
      <c r="A404" t="s">
        <v>2159</v>
      </c>
      <c r="B404" t="s">
        <v>2490</v>
      </c>
      <c r="C404">
        <v>7498609</v>
      </c>
      <c r="D404">
        <v>120171993</v>
      </c>
      <c r="E404" t="s">
        <v>2499</v>
      </c>
      <c r="G404" t="s">
        <v>2198</v>
      </c>
      <c r="H404" t="s">
        <v>2382</v>
      </c>
      <c r="I404" t="s">
        <v>2500</v>
      </c>
    </row>
    <row r="405" spans="1:13" x14ac:dyDescent="0.3">
      <c r="A405" s="13" t="s">
        <v>54</v>
      </c>
      <c r="B405" s="13" t="s">
        <v>55</v>
      </c>
      <c r="C405" s="13">
        <v>7461854</v>
      </c>
      <c r="D405" s="13">
        <v>101252641</v>
      </c>
      <c r="J405" s="13"/>
      <c r="K405" s="13"/>
      <c r="L405" s="13"/>
      <c r="M405" s="13"/>
    </row>
    <row r="406" spans="1:13" x14ac:dyDescent="0.3">
      <c r="A406" s="13" t="s">
        <v>65</v>
      </c>
      <c r="B406" s="13" t="s">
        <v>55</v>
      </c>
      <c r="C406" s="13">
        <v>7461854</v>
      </c>
      <c r="D406" s="13">
        <v>101189848</v>
      </c>
      <c r="J406" s="13"/>
      <c r="K406" s="13"/>
      <c r="L406" s="13"/>
      <c r="M406" s="13"/>
    </row>
    <row r="407" spans="1:13" x14ac:dyDescent="0.3">
      <c r="A407" s="13" t="s">
        <v>66</v>
      </c>
      <c r="B407" s="13" t="s">
        <v>55</v>
      </c>
      <c r="C407" s="13">
        <v>7461854</v>
      </c>
      <c r="D407" s="13">
        <v>101244634</v>
      </c>
      <c r="J407" s="13"/>
      <c r="K407" s="13"/>
      <c r="L407" s="13"/>
      <c r="M407" s="13"/>
    </row>
    <row r="408" spans="1:13" x14ac:dyDescent="0.3">
      <c r="A408" t="s">
        <v>2859</v>
      </c>
      <c r="B408" t="s">
        <v>2820</v>
      </c>
      <c r="C408">
        <v>120081834</v>
      </c>
      <c r="D408">
        <v>120112665</v>
      </c>
      <c r="E408" t="s">
        <v>2821</v>
      </c>
      <c r="H408" t="s">
        <v>2236</v>
      </c>
      <c r="I408" t="s">
        <v>2847</v>
      </c>
      <c r="J408" t="s">
        <v>2200</v>
      </c>
    </row>
    <row r="409" spans="1:13" x14ac:dyDescent="0.3">
      <c r="A409" t="s">
        <v>2822</v>
      </c>
      <c r="B409" t="s">
        <v>2820</v>
      </c>
      <c r="C409">
        <v>120081834</v>
      </c>
      <c r="D409">
        <v>120112664</v>
      </c>
      <c r="E409" t="s">
        <v>2823</v>
      </c>
      <c r="H409" t="s">
        <v>2409</v>
      </c>
      <c r="I409" t="s">
        <v>2348</v>
      </c>
      <c r="J409" t="s">
        <v>2200</v>
      </c>
    </row>
    <row r="410" spans="1:13" x14ac:dyDescent="0.3">
      <c r="A410" t="s">
        <v>2824</v>
      </c>
      <c r="B410" t="s">
        <v>2820</v>
      </c>
      <c r="C410">
        <v>120081834</v>
      </c>
      <c r="D410">
        <v>120112663</v>
      </c>
      <c r="E410" t="s">
        <v>2825</v>
      </c>
      <c r="H410" t="s">
        <v>2848</v>
      </c>
      <c r="I410" t="s">
        <v>2849</v>
      </c>
      <c r="J410" t="s">
        <v>2200</v>
      </c>
    </row>
    <row r="411" spans="1:13" x14ac:dyDescent="0.3">
      <c r="A411" t="s">
        <v>2826</v>
      </c>
      <c r="B411" t="s">
        <v>2820</v>
      </c>
      <c r="C411">
        <v>120081834</v>
      </c>
      <c r="D411">
        <v>120112666</v>
      </c>
      <c r="E411" t="s">
        <v>2827</v>
      </c>
      <c r="H411" t="s">
        <v>2850</v>
      </c>
      <c r="I411" t="s">
        <v>2407</v>
      </c>
      <c r="J411" t="s">
        <v>2200</v>
      </c>
    </row>
    <row r="412" spans="1:13" x14ac:dyDescent="0.3">
      <c r="A412" t="s">
        <v>1915</v>
      </c>
      <c r="B412" t="s">
        <v>1916</v>
      </c>
      <c r="C412">
        <v>120081833</v>
      </c>
      <c r="D412">
        <v>120081984</v>
      </c>
      <c r="E412" s="14" t="s">
        <v>1917</v>
      </c>
      <c r="G412" t="s">
        <v>1918</v>
      </c>
      <c r="H412" s="15" t="str">
        <f>IF(ISBLANK(A412),"",IFERROR(LEFT(A412,SEARCH(" ",A412)-1),""))</f>
        <v>Robert</v>
      </c>
      <c r="I412" s="15" t="str">
        <f>IF(ISBLANK(A412),"",IFERROR(RIGHT(A412,LEN(A412)-SEARCH(" ",A412)),""))</f>
        <v>Jordan</v>
      </c>
    </row>
    <row r="413" spans="1:13" x14ac:dyDescent="0.3">
      <c r="A413" t="s">
        <v>876</v>
      </c>
      <c r="B413" t="s">
        <v>353</v>
      </c>
      <c r="C413">
        <v>523553</v>
      </c>
      <c r="D413">
        <v>101092873</v>
      </c>
      <c r="E413" t="s">
        <v>877</v>
      </c>
      <c r="G413" t="s">
        <v>2198</v>
      </c>
      <c r="H413" t="s">
        <v>1134</v>
      </c>
      <c r="I413" t="s">
        <v>2297</v>
      </c>
      <c r="L413" t="s">
        <v>2298</v>
      </c>
    </row>
    <row r="414" spans="1:13" x14ac:dyDescent="0.3">
      <c r="A414" t="s">
        <v>352</v>
      </c>
      <c r="B414" t="s">
        <v>353</v>
      </c>
      <c r="C414">
        <v>523553</v>
      </c>
      <c r="D414">
        <v>101035089</v>
      </c>
      <c r="E414" t="s">
        <v>354</v>
      </c>
      <c r="G414" t="s">
        <v>2198</v>
      </c>
      <c r="H414" t="s">
        <v>1238</v>
      </c>
      <c r="I414" t="s">
        <v>2299</v>
      </c>
      <c r="L414" t="s">
        <v>2298</v>
      </c>
    </row>
    <row r="415" spans="1:13" x14ac:dyDescent="0.3">
      <c r="A415" t="s">
        <v>355</v>
      </c>
      <c r="B415" t="s">
        <v>353</v>
      </c>
      <c r="C415">
        <v>523553</v>
      </c>
      <c r="D415">
        <v>101035142</v>
      </c>
      <c r="E415" t="s">
        <v>356</v>
      </c>
      <c r="G415" t="s">
        <v>2198</v>
      </c>
      <c r="H415" t="s">
        <v>2300</v>
      </c>
      <c r="I415" t="s">
        <v>2301</v>
      </c>
      <c r="L415" t="s">
        <v>2298</v>
      </c>
    </row>
    <row r="416" spans="1:13" x14ac:dyDescent="0.3">
      <c r="A416" t="s">
        <v>357</v>
      </c>
      <c r="B416" t="s">
        <v>353</v>
      </c>
      <c r="C416">
        <v>523553</v>
      </c>
      <c r="D416">
        <v>101047864</v>
      </c>
      <c r="E416" t="s">
        <v>358</v>
      </c>
      <c r="G416" t="s">
        <v>2198</v>
      </c>
      <c r="H416" t="s">
        <v>1136</v>
      </c>
      <c r="I416" t="s">
        <v>2302</v>
      </c>
      <c r="L416" t="s">
        <v>2298</v>
      </c>
    </row>
    <row r="417" spans="1:12" x14ac:dyDescent="0.3">
      <c r="A417" t="s">
        <v>359</v>
      </c>
      <c r="B417" t="s">
        <v>353</v>
      </c>
      <c r="C417">
        <v>523553</v>
      </c>
      <c r="D417">
        <v>101035107</v>
      </c>
      <c r="E417" t="s">
        <v>360</v>
      </c>
      <c r="G417" t="s">
        <v>2198</v>
      </c>
      <c r="H417" t="s">
        <v>2303</v>
      </c>
      <c r="I417" t="s">
        <v>2304</v>
      </c>
      <c r="K417" t="s">
        <v>2305</v>
      </c>
      <c r="L417" t="s">
        <v>2298</v>
      </c>
    </row>
    <row r="418" spans="1:12" x14ac:dyDescent="0.3">
      <c r="A418" t="s">
        <v>873</v>
      </c>
      <c r="B418" t="s">
        <v>353</v>
      </c>
      <c r="C418">
        <v>523553</v>
      </c>
      <c r="D418">
        <v>101092858</v>
      </c>
      <c r="E418" t="s">
        <v>875</v>
      </c>
      <c r="G418" t="s">
        <v>2198</v>
      </c>
      <c r="H418" t="s">
        <v>1133</v>
      </c>
      <c r="I418" t="s">
        <v>1192</v>
      </c>
      <c r="L418" t="s">
        <v>2298</v>
      </c>
    </row>
    <row r="419" spans="1:12" x14ac:dyDescent="0.3">
      <c r="A419" t="s">
        <v>361</v>
      </c>
      <c r="B419" t="s">
        <v>353</v>
      </c>
      <c r="C419">
        <v>523553</v>
      </c>
      <c r="D419">
        <v>101035140</v>
      </c>
      <c r="E419" t="s">
        <v>362</v>
      </c>
      <c r="G419" t="s">
        <v>2198</v>
      </c>
      <c r="H419" t="s">
        <v>2306</v>
      </c>
      <c r="I419" t="s">
        <v>1174</v>
      </c>
      <c r="L419" t="s">
        <v>2298</v>
      </c>
    </row>
    <row r="420" spans="1:12" x14ac:dyDescent="0.3">
      <c r="A420" t="s">
        <v>363</v>
      </c>
      <c r="B420" t="s">
        <v>353</v>
      </c>
      <c r="C420">
        <v>523553</v>
      </c>
      <c r="D420">
        <v>100060215</v>
      </c>
      <c r="E420" t="s">
        <v>364</v>
      </c>
      <c r="F420" t="s">
        <v>2307</v>
      </c>
      <c r="G420" t="s">
        <v>2198</v>
      </c>
      <c r="H420" t="s">
        <v>1244</v>
      </c>
      <c r="I420" t="s">
        <v>2308</v>
      </c>
      <c r="K420" t="s">
        <v>2309</v>
      </c>
    </row>
    <row r="421" spans="1:12" x14ac:dyDescent="0.3">
      <c r="A421" t="s">
        <v>365</v>
      </c>
      <c r="B421" t="s">
        <v>353</v>
      </c>
      <c r="C421">
        <v>523553</v>
      </c>
      <c r="D421">
        <v>101035108</v>
      </c>
      <c r="E421" t="s">
        <v>366</v>
      </c>
      <c r="G421" t="s">
        <v>2198</v>
      </c>
      <c r="H421" t="s">
        <v>2310</v>
      </c>
      <c r="I421" t="s">
        <v>2311</v>
      </c>
      <c r="L421" t="s">
        <v>2298</v>
      </c>
    </row>
    <row r="422" spans="1:12" x14ac:dyDescent="0.3">
      <c r="A422" t="s">
        <v>367</v>
      </c>
      <c r="B422" t="s">
        <v>353</v>
      </c>
      <c r="C422">
        <v>523553</v>
      </c>
      <c r="D422">
        <v>101035145</v>
      </c>
      <c r="E422" t="s">
        <v>368</v>
      </c>
      <c r="G422" t="s">
        <v>2198</v>
      </c>
      <c r="H422" t="s">
        <v>1355</v>
      </c>
      <c r="I422" t="s">
        <v>2312</v>
      </c>
      <c r="L422" t="s">
        <v>2298</v>
      </c>
    </row>
    <row r="423" spans="1:12" x14ac:dyDescent="0.3">
      <c r="A423" t="s">
        <v>369</v>
      </c>
      <c r="B423" t="s">
        <v>353</v>
      </c>
      <c r="C423">
        <v>523553</v>
      </c>
      <c r="D423">
        <v>101047848</v>
      </c>
      <c r="G423" t="s">
        <v>2198</v>
      </c>
      <c r="H423" t="s">
        <v>2547</v>
      </c>
      <c r="I423" t="s">
        <v>2548</v>
      </c>
      <c r="J423" t="s">
        <v>2431</v>
      </c>
      <c r="L423" t="s">
        <v>2298</v>
      </c>
    </row>
    <row r="424" spans="1:12" x14ac:dyDescent="0.3">
      <c r="A424" t="s">
        <v>370</v>
      </c>
      <c r="B424" t="s">
        <v>353</v>
      </c>
      <c r="C424">
        <v>523553</v>
      </c>
      <c r="D424">
        <v>100060214</v>
      </c>
      <c r="E424" t="s">
        <v>371</v>
      </c>
      <c r="F424" t="s">
        <v>2549</v>
      </c>
      <c r="G424" t="s">
        <v>2198</v>
      </c>
      <c r="H424" t="s">
        <v>2550</v>
      </c>
      <c r="I424" t="s">
        <v>2551</v>
      </c>
      <c r="K424" t="s">
        <v>2552</v>
      </c>
      <c r="L424" t="s">
        <v>2553</v>
      </c>
    </row>
    <row r="425" spans="1:12" x14ac:dyDescent="0.3">
      <c r="A425" t="s">
        <v>372</v>
      </c>
      <c r="B425" t="s">
        <v>353</v>
      </c>
      <c r="C425">
        <v>523553</v>
      </c>
      <c r="D425">
        <v>101035141</v>
      </c>
      <c r="E425" t="s">
        <v>373</v>
      </c>
      <c r="G425" t="s">
        <v>2198</v>
      </c>
      <c r="H425" t="s">
        <v>2554</v>
      </c>
      <c r="I425" t="s">
        <v>2555</v>
      </c>
      <c r="L425" t="s">
        <v>2298</v>
      </c>
    </row>
    <row r="426" spans="1:12" x14ac:dyDescent="0.3">
      <c r="A426" t="s">
        <v>374</v>
      </c>
      <c r="B426" t="s">
        <v>353</v>
      </c>
      <c r="C426">
        <v>523553</v>
      </c>
      <c r="D426">
        <v>101047870</v>
      </c>
      <c r="E426" t="s">
        <v>375</v>
      </c>
      <c r="G426" t="s">
        <v>2198</v>
      </c>
      <c r="H426" t="s">
        <v>2556</v>
      </c>
      <c r="I426" t="s">
        <v>2557</v>
      </c>
      <c r="L426" t="s">
        <v>2298</v>
      </c>
    </row>
    <row r="427" spans="1:12" x14ac:dyDescent="0.3">
      <c r="A427" t="s">
        <v>376</v>
      </c>
      <c r="B427" t="s">
        <v>353</v>
      </c>
      <c r="C427">
        <v>523553</v>
      </c>
      <c r="D427">
        <v>101035122</v>
      </c>
      <c r="E427" t="s">
        <v>377</v>
      </c>
      <c r="F427" t="s">
        <v>2558</v>
      </c>
      <c r="G427" t="s">
        <v>2198</v>
      </c>
      <c r="H427" t="s">
        <v>2559</v>
      </c>
      <c r="I427" t="s">
        <v>1102</v>
      </c>
      <c r="L427" t="s">
        <v>2298</v>
      </c>
    </row>
    <row r="428" spans="1:12" x14ac:dyDescent="0.3">
      <c r="A428" t="s">
        <v>378</v>
      </c>
      <c r="B428" t="s">
        <v>353</v>
      </c>
      <c r="C428">
        <v>523553</v>
      </c>
      <c r="D428">
        <v>101041311</v>
      </c>
      <c r="E428" t="s">
        <v>379</v>
      </c>
      <c r="F428" t="s">
        <v>2560</v>
      </c>
      <c r="G428" t="s">
        <v>2386</v>
      </c>
      <c r="H428" t="s">
        <v>2561</v>
      </c>
      <c r="I428" t="s">
        <v>2562</v>
      </c>
      <c r="L428" t="s">
        <v>2298</v>
      </c>
    </row>
    <row r="429" spans="1:12" x14ac:dyDescent="0.3">
      <c r="A429" t="s">
        <v>380</v>
      </c>
      <c r="B429" t="s">
        <v>353</v>
      </c>
      <c r="C429">
        <v>523553</v>
      </c>
      <c r="D429">
        <v>101035146</v>
      </c>
      <c r="E429" t="s">
        <v>381</v>
      </c>
      <c r="G429" t="s">
        <v>2198</v>
      </c>
      <c r="H429" t="s">
        <v>1148</v>
      </c>
      <c r="I429" t="s">
        <v>2563</v>
      </c>
      <c r="L429" t="s">
        <v>2298</v>
      </c>
    </row>
    <row r="430" spans="1:12" x14ac:dyDescent="0.3">
      <c r="A430" t="s">
        <v>382</v>
      </c>
      <c r="B430" t="s">
        <v>353</v>
      </c>
      <c r="C430">
        <v>523553</v>
      </c>
      <c r="D430">
        <v>101035147</v>
      </c>
      <c r="E430" t="s">
        <v>383</v>
      </c>
      <c r="G430" t="s">
        <v>2198</v>
      </c>
      <c r="H430" t="s">
        <v>1097</v>
      </c>
      <c r="I430" t="s">
        <v>2564</v>
      </c>
      <c r="L430" t="s">
        <v>2298</v>
      </c>
    </row>
    <row r="431" spans="1:12" x14ac:dyDescent="0.3">
      <c r="A431" t="s">
        <v>384</v>
      </c>
      <c r="B431" t="s">
        <v>353</v>
      </c>
      <c r="C431">
        <v>523553</v>
      </c>
      <c r="D431">
        <v>101068610</v>
      </c>
      <c r="E431" t="s">
        <v>385</v>
      </c>
      <c r="F431" t="s">
        <v>2565</v>
      </c>
      <c r="G431" t="s">
        <v>2386</v>
      </c>
      <c r="H431" t="s">
        <v>2259</v>
      </c>
      <c r="I431" t="s">
        <v>2566</v>
      </c>
      <c r="L431" t="s">
        <v>2298</v>
      </c>
    </row>
    <row r="432" spans="1:12" x14ac:dyDescent="0.3">
      <c r="A432" t="s">
        <v>386</v>
      </c>
      <c r="B432" t="s">
        <v>353</v>
      </c>
      <c r="C432">
        <v>523553</v>
      </c>
      <c r="D432">
        <v>101035105</v>
      </c>
      <c r="E432" t="s">
        <v>387</v>
      </c>
      <c r="G432" t="s">
        <v>2198</v>
      </c>
      <c r="H432" t="s">
        <v>1196</v>
      </c>
      <c r="I432" t="s">
        <v>2567</v>
      </c>
      <c r="L432" t="s">
        <v>2298</v>
      </c>
    </row>
    <row r="433" spans="1:13" x14ac:dyDescent="0.3">
      <c r="A433" t="s">
        <v>388</v>
      </c>
      <c r="B433" t="s">
        <v>353</v>
      </c>
      <c r="C433">
        <v>523553</v>
      </c>
      <c r="D433">
        <v>101035143</v>
      </c>
      <c r="E433" t="s">
        <v>389</v>
      </c>
      <c r="G433" t="s">
        <v>2386</v>
      </c>
      <c r="H433" t="s">
        <v>2568</v>
      </c>
      <c r="I433" t="s">
        <v>2569</v>
      </c>
      <c r="L433" t="s">
        <v>2298</v>
      </c>
    </row>
    <row r="434" spans="1:13" x14ac:dyDescent="0.3">
      <c r="A434" t="s">
        <v>390</v>
      </c>
      <c r="B434" t="s">
        <v>353</v>
      </c>
      <c r="C434">
        <v>523553</v>
      </c>
      <c r="D434">
        <v>101035144</v>
      </c>
      <c r="E434" t="s">
        <v>391</v>
      </c>
      <c r="G434" t="s">
        <v>2198</v>
      </c>
      <c r="H434" t="s">
        <v>1097</v>
      </c>
      <c r="I434" t="s">
        <v>1091</v>
      </c>
      <c r="K434" t="s">
        <v>2570</v>
      </c>
      <c r="L434" t="s">
        <v>2298</v>
      </c>
    </row>
    <row r="435" spans="1:13" x14ac:dyDescent="0.3">
      <c r="A435" t="s">
        <v>392</v>
      </c>
      <c r="B435" t="s">
        <v>353</v>
      </c>
      <c r="C435">
        <v>523553</v>
      </c>
      <c r="D435">
        <v>101035106</v>
      </c>
      <c r="E435" t="s">
        <v>393</v>
      </c>
      <c r="G435" t="s">
        <v>2198</v>
      </c>
      <c r="H435" t="s">
        <v>1164</v>
      </c>
      <c r="I435" t="s">
        <v>2571</v>
      </c>
      <c r="L435" t="s">
        <v>2298</v>
      </c>
    </row>
    <row r="436" spans="1:13" x14ac:dyDescent="0.3">
      <c r="A436" t="s">
        <v>394</v>
      </c>
      <c r="B436" t="s">
        <v>353</v>
      </c>
      <c r="C436">
        <v>523553</v>
      </c>
      <c r="D436">
        <v>101047865</v>
      </c>
      <c r="E436" t="s">
        <v>395</v>
      </c>
      <c r="G436" t="s">
        <v>2198</v>
      </c>
      <c r="H436" t="s">
        <v>2572</v>
      </c>
      <c r="I436" t="s">
        <v>2573</v>
      </c>
      <c r="L436" t="s">
        <v>2298</v>
      </c>
    </row>
    <row r="437" spans="1:13" x14ac:dyDescent="0.3">
      <c r="A437" t="s">
        <v>396</v>
      </c>
      <c r="B437" t="s">
        <v>353</v>
      </c>
      <c r="C437">
        <v>523553</v>
      </c>
      <c r="D437">
        <v>101071231</v>
      </c>
      <c r="E437" t="s">
        <v>397</v>
      </c>
      <c r="G437" t="s">
        <v>2198</v>
      </c>
      <c r="H437" t="s">
        <v>2574</v>
      </c>
      <c r="I437" t="s">
        <v>2575</v>
      </c>
      <c r="L437" t="s">
        <v>2298</v>
      </c>
    </row>
    <row r="438" spans="1:13" x14ac:dyDescent="0.3">
      <c r="A438" t="s">
        <v>398</v>
      </c>
      <c r="B438" t="s">
        <v>353</v>
      </c>
      <c r="C438">
        <v>523553</v>
      </c>
      <c r="D438">
        <v>101047862</v>
      </c>
      <c r="E438" t="s">
        <v>399</v>
      </c>
      <c r="G438" t="s">
        <v>2198</v>
      </c>
      <c r="H438" t="s">
        <v>1161</v>
      </c>
      <c r="I438" t="s">
        <v>2576</v>
      </c>
      <c r="L438" t="s">
        <v>2298</v>
      </c>
    </row>
    <row r="439" spans="1:13" x14ac:dyDescent="0.3">
      <c r="A439" t="s">
        <v>400</v>
      </c>
      <c r="B439" t="s">
        <v>353</v>
      </c>
      <c r="C439">
        <v>523553</v>
      </c>
      <c r="D439">
        <v>101035148</v>
      </c>
      <c r="E439" t="s">
        <v>401</v>
      </c>
      <c r="G439" t="s">
        <v>2198</v>
      </c>
      <c r="H439" t="s">
        <v>2577</v>
      </c>
      <c r="I439" t="s">
        <v>2322</v>
      </c>
      <c r="L439" t="s">
        <v>2298</v>
      </c>
    </row>
    <row r="440" spans="1:13" x14ac:dyDescent="0.3">
      <c r="A440" t="s">
        <v>402</v>
      </c>
      <c r="B440" t="s">
        <v>353</v>
      </c>
      <c r="C440">
        <v>523553</v>
      </c>
      <c r="D440">
        <v>101027938</v>
      </c>
      <c r="E440" t="s">
        <v>403</v>
      </c>
      <c r="G440" t="s">
        <v>2198</v>
      </c>
      <c r="H440" t="s">
        <v>2578</v>
      </c>
      <c r="I440" t="s">
        <v>2579</v>
      </c>
      <c r="L440" t="s">
        <v>2580</v>
      </c>
    </row>
    <row r="441" spans="1:13" x14ac:dyDescent="0.3">
      <c r="A441" t="s">
        <v>404</v>
      </c>
      <c r="B441" t="s">
        <v>353</v>
      </c>
      <c r="C441">
        <v>523553</v>
      </c>
      <c r="D441">
        <v>100060216</v>
      </c>
      <c r="E441" t="s">
        <v>405</v>
      </c>
      <c r="G441" t="s">
        <v>2198</v>
      </c>
      <c r="H441" t="s">
        <v>1269</v>
      </c>
      <c r="I441" t="s">
        <v>2581</v>
      </c>
      <c r="L441" t="s">
        <v>2582</v>
      </c>
    </row>
    <row r="442" spans="1:13" x14ac:dyDescent="0.3">
      <c r="A442" t="s">
        <v>878</v>
      </c>
      <c r="B442" t="s">
        <v>353</v>
      </c>
      <c r="C442">
        <v>523553</v>
      </c>
      <c r="D442">
        <v>101092874</v>
      </c>
      <c r="E442" t="s">
        <v>879</v>
      </c>
      <c r="G442" t="s">
        <v>2198</v>
      </c>
      <c r="H442" t="s">
        <v>1135</v>
      </c>
      <c r="I442" t="s">
        <v>2583</v>
      </c>
      <c r="L442" t="s">
        <v>2298</v>
      </c>
    </row>
    <row r="443" spans="1:13" x14ac:dyDescent="0.3">
      <c r="A443" t="s">
        <v>793</v>
      </c>
      <c r="B443" t="s">
        <v>794</v>
      </c>
      <c r="C443">
        <v>7502568</v>
      </c>
      <c r="D443">
        <v>101377151</v>
      </c>
      <c r="E443" t="s">
        <v>795</v>
      </c>
      <c r="F443" t="s">
        <v>796</v>
      </c>
      <c r="G443" t="s">
        <v>797</v>
      </c>
    </row>
    <row r="444" spans="1:13" x14ac:dyDescent="0.3">
      <c r="A444" t="s">
        <v>798</v>
      </c>
      <c r="B444" t="s">
        <v>794</v>
      </c>
      <c r="C444">
        <v>7502568</v>
      </c>
      <c r="D444">
        <v>101377147</v>
      </c>
      <c r="E444" t="s">
        <v>799</v>
      </c>
      <c r="F444" t="s">
        <v>135</v>
      </c>
      <c r="G444" t="s">
        <v>797</v>
      </c>
    </row>
    <row r="445" spans="1:13" x14ac:dyDescent="0.3">
      <c r="A445" t="s">
        <v>800</v>
      </c>
      <c r="B445" t="s">
        <v>794</v>
      </c>
      <c r="C445">
        <v>7502568</v>
      </c>
      <c r="D445">
        <v>101377150</v>
      </c>
      <c r="E445" t="s">
        <v>801</v>
      </c>
      <c r="F445" t="s">
        <v>135</v>
      </c>
      <c r="G445" t="s">
        <v>797</v>
      </c>
    </row>
    <row r="446" spans="1:13" x14ac:dyDescent="0.3">
      <c r="A446" s="13" t="s">
        <v>71</v>
      </c>
      <c r="B446" s="13" t="s">
        <v>72</v>
      </c>
      <c r="C446" s="13">
        <v>7476358</v>
      </c>
      <c r="D446" s="13">
        <v>101266578</v>
      </c>
      <c r="J446" s="13"/>
      <c r="K446" s="13"/>
      <c r="L446" s="13"/>
      <c r="M446" s="13"/>
    </row>
    <row r="447" spans="1:13" x14ac:dyDescent="0.3">
      <c r="A447" s="13" t="s">
        <v>113</v>
      </c>
      <c r="B447" s="13" t="s">
        <v>72</v>
      </c>
      <c r="C447" s="13">
        <v>7476358</v>
      </c>
      <c r="D447" s="13">
        <v>101280926</v>
      </c>
      <c r="J447" s="13"/>
      <c r="K447" s="13"/>
      <c r="L447" s="13"/>
      <c r="M447" s="13"/>
    </row>
    <row r="448" spans="1:13" x14ac:dyDescent="0.3">
      <c r="A448" t="s">
        <v>269</v>
      </c>
      <c r="B448" t="s">
        <v>270</v>
      </c>
      <c r="C448">
        <v>7477482</v>
      </c>
      <c r="D448">
        <v>101267101</v>
      </c>
      <c r="E448" t="s">
        <v>271</v>
      </c>
      <c r="F448" t="s">
        <v>135</v>
      </c>
      <c r="G448" t="s">
        <v>272</v>
      </c>
      <c r="J448" s="13"/>
      <c r="K448" s="13"/>
      <c r="L448" s="13"/>
      <c r="M448" s="13"/>
    </row>
    <row r="449" spans="1:13" x14ac:dyDescent="0.3">
      <c r="A449" t="s">
        <v>273</v>
      </c>
      <c r="B449" t="s">
        <v>270</v>
      </c>
      <c r="C449">
        <v>7477482</v>
      </c>
      <c r="D449">
        <v>101280927</v>
      </c>
      <c r="E449" t="s">
        <v>274</v>
      </c>
      <c r="F449" t="s">
        <v>135</v>
      </c>
      <c r="G449" t="s">
        <v>272</v>
      </c>
      <c r="J449" s="13"/>
      <c r="K449" s="13"/>
      <c r="L449" s="13"/>
      <c r="M449" s="13"/>
    </row>
    <row r="450" spans="1:13" x14ac:dyDescent="0.3">
      <c r="A450" t="s">
        <v>275</v>
      </c>
      <c r="B450" t="s">
        <v>270</v>
      </c>
      <c r="C450">
        <v>7477482</v>
      </c>
      <c r="D450">
        <v>101252413</v>
      </c>
      <c r="E450" t="s">
        <v>276</v>
      </c>
      <c r="F450" t="s">
        <v>135</v>
      </c>
      <c r="G450" t="s">
        <v>272</v>
      </c>
      <c r="J450" s="13"/>
      <c r="K450" s="13"/>
      <c r="L450" s="13"/>
      <c r="M450" s="13"/>
    </row>
    <row r="451" spans="1:13" x14ac:dyDescent="0.3">
      <c r="A451" t="s">
        <v>2002</v>
      </c>
      <c r="B451" t="s">
        <v>2003</v>
      </c>
      <c r="C451">
        <v>120169796</v>
      </c>
      <c r="D451">
        <v>120171236</v>
      </c>
      <c r="H451" s="15" t="str">
        <f>IF(ISBLANK(A451),"",IFERROR(LEFT(A451,SEARCH(" ",A451)-1),""))</f>
        <v>Larry</v>
      </c>
      <c r="I451" s="15" t="str">
        <f>IF(ISBLANK(A451),"",IFERROR(RIGHT(A451,LEN(A451)-SEARCH(" ",A451)),""))</f>
        <v>Stokely</v>
      </c>
    </row>
    <row r="452" spans="1:13" x14ac:dyDescent="0.3">
      <c r="A452" t="s">
        <v>2004</v>
      </c>
      <c r="B452" t="s">
        <v>2003</v>
      </c>
      <c r="C452">
        <v>120169796</v>
      </c>
      <c r="D452">
        <v>120171237</v>
      </c>
      <c r="H452" s="15" t="str">
        <f>IF(ISBLANK(A452),"",IFERROR(LEFT(A452,SEARCH(" ",A452)-1),""))</f>
        <v>Jeff</v>
      </c>
      <c r="I452" s="15" t="str">
        <f>IF(ISBLANK(A452),"",IFERROR(RIGHT(A452,LEN(A452)-SEARCH(" ",A452)),""))</f>
        <v>Petree</v>
      </c>
    </row>
    <row r="453" spans="1:13" x14ac:dyDescent="0.3">
      <c r="A453" t="s">
        <v>2005</v>
      </c>
      <c r="B453" t="s">
        <v>2003</v>
      </c>
      <c r="C453">
        <v>120169796</v>
      </c>
      <c r="D453">
        <v>120171238</v>
      </c>
      <c r="H453" s="15" t="str">
        <f>IF(ISBLANK(A453),"",IFERROR(LEFT(A453,SEARCH(" ",A453)-1),""))</f>
        <v>Steve</v>
      </c>
      <c r="I453" s="15" t="str">
        <f>IF(ISBLANK(A453),"",IFERROR(RIGHT(A453,LEN(A453)-SEARCH(" ",A453)),""))</f>
        <v>Getley</v>
      </c>
    </row>
    <row r="454" spans="1:13" x14ac:dyDescent="0.3">
      <c r="A454" t="s">
        <v>2155</v>
      </c>
      <c r="B454" t="s">
        <v>2154</v>
      </c>
      <c r="C454">
        <v>120171913</v>
      </c>
      <c r="D454">
        <v>120171989</v>
      </c>
      <c r="E454" t="s">
        <v>2209</v>
      </c>
      <c r="G454" t="s">
        <v>2198</v>
      </c>
      <c r="H454" t="s">
        <v>1256</v>
      </c>
      <c r="I454" t="s">
        <v>2210</v>
      </c>
      <c r="J454" t="s">
        <v>2200</v>
      </c>
    </row>
    <row r="455" spans="1:13" x14ac:dyDescent="0.3">
      <c r="A455" t="s">
        <v>2153</v>
      </c>
      <c r="B455" t="s">
        <v>2154</v>
      </c>
      <c r="C455">
        <v>120171913</v>
      </c>
      <c r="D455">
        <v>120171988</v>
      </c>
      <c r="E455" t="s">
        <v>2211</v>
      </c>
      <c r="G455" t="s">
        <v>2198</v>
      </c>
      <c r="H455" t="s">
        <v>2212</v>
      </c>
      <c r="I455" t="s">
        <v>2213</v>
      </c>
      <c r="J455" t="s">
        <v>2200</v>
      </c>
    </row>
    <row r="456" spans="1:13" x14ac:dyDescent="0.3">
      <c r="A456" t="s">
        <v>1988</v>
      </c>
      <c r="B456" t="s">
        <v>2087</v>
      </c>
      <c r="C456">
        <v>532861</v>
      </c>
      <c r="D456">
        <v>100315017</v>
      </c>
      <c r="E456" t="s">
        <v>1989</v>
      </c>
      <c r="F456" t="s">
        <v>2088</v>
      </c>
    </row>
    <row r="457" spans="1:13" x14ac:dyDescent="0.3">
      <c r="A457" t="s">
        <v>2089</v>
      </c>
      <c r="B457" t="s">
        <v>2087</v>
      </c>
      <c r="C457">
        <v>532861</v>
      </c>
      <c r="D457">
        <v>100315015</v>
      </c>
      <c r="E457" t="s">
        <v>2090</v>
      </c>
      <c r="F457" t="s">
        <v>2091</v>
      </c>
    </row>
    <row r="458" spans="1:13" x14ac:dyDescent="0.3">
      <c r="A458" t="s">
        <v>2092</v>
      </c>
      <c r="B458" t="s">
        <v>2087</v>
      </c>
      <c r="C458">
        <v>532861</v>
      </c>
      <c r="D458">
        <v>100315013</v>
      </c>
      <c r="E458" t="s">
        <v>2093</v>
      </c>
      <c r="F458" t="s">
        <v>2094</v>
      </c>
    </row>
    <row r="459" spans="1:13" x14ac:dyDescent="0.3">
      <c r="A459" t="s">
        <v>23</v>
      </c>
      <c r="B459" t="s">
        <v>2087</v>
      </c>
      <c r="C459">
        <v>532861</v>
      </c>
      <c r="D459">
        <v>120045211</v>
      </c>
    </row>
    <row r="460" spans="1:13" x14ac:dyDescent="0.3">
      <c r="A460" t="s">
        <v>2095</v>
      </c>
      <c r="B460" t="s">
        <v>2087</v>
      </c>
      <c r="C460">
        <v>532861</v>
      </c>
      <c r="D460">
        <v>120045212</v>
      </c>
    </row>
    <row r="461" spans="1:13" x14ac:dyDescent="0.3">
      <c r="A461" t="s">
        <v>2096</v>
      </c>
      <c r="B461" t="s">
        <v>2087</v>
      </c>
      <c r="C461">
        <v>532861</v>
      </c>
      <c r="D461">
        <v>100315019</v>
      </c>
      <c r="E461" t="s">
        <v>2097</v>
      </c>
    </row>
    <row r="462" spans="1:13" x14ac:dyDescent="0.3">
      <c r="A462" t="s">
        <v>2098</v>
      </c>
      <c r="B462" t="s">
        <v>2087</v>
      </c>
      <c r="C462">
        <v>532861</v>
      </c>
      <c r="D462">
        <v>100315014</v>
      </c>
      <c r="E462" t="s">
        <v>2099</v>
      </c>
    </row>
    <row r="463" spans="1:13" x14ac:dyDescent="0.3">
      <c r="A463" t="s">
        <v>2100</v>
      </c>
      <c r="B463" t="s">
        <v>2087</v>
      </c>
      <c r="C463">
        <v>532861</v>
      </c>
      <c r="D463">
        <v>100315020</v>
      </c>
      <c r="E463" t="s">
        <v>2101</v>
      </c>
      <c r="F463" t="s">
        <v>2102</v>
      </c>
    </row>
    <row r="464" spans="1:13" x14ac:dyDescent="0.3">
      <c r="A464" t="s">
        <v>2151</v>
      </c>
      <c r="B464" t="s">
        <v>215</v>
      </c>
      <c r="C464">
        <v>7498610</v>
      </c>
      <c r="D464">
        <v>120171985</v>
      </c>
      <c r="E464" t="s">
        <v>2501</v>
      </c>
      <c r="G464" t="s">
        <v>2198</v>
      </c>
      <c r="H464" t="s">
        <v>2502</v>
      </c>
      <c r="I464" t="s">
        <v>2503</v>
      </c>
    </row>
    <row r="465" spans="1:13" x14ac:dyDescent="0.3">
      <c r="A465" t="s">
        <v>2504</v>
      </c>
      <c r="B465" t="s">
        <v>215</v>
      </c>
      <c r="C465">
        <v>7498610</v>
      </c>
      <c r="D465">
        <v>120171987</v>
      </c>
      <c r="E465" t="s">
        <v>2505</v>
      </c>
      <c r="G465" t="s">
        <v>2198</v>
      </c>
      <c r="H465" t="s">
        <v>2506</v>
      </c>
      <c r="I465" t="s">
        <v>2507</v>
      </c>
    </row>
    <row r="466" spans="1:13" x14ac:dyDescent="0.3">
      <c r="A466" t="s">
        <v>2152</v>
      </c>
      <c r="B466" t="s">
        <v>215</v>
      </c>
      <c r="C466">
        <v>7498610</v>
      </c>
      <c r="D466">
        <v>120171986</v>
      </c>
      <c r="E466" t="s">
        <v>2508</v>
      </c>
      <c r="G466" t="s">
        <v>2198</v>
      </c>
      <c r="H466" t="s">
        <v>1184</v>
      </c>
      <c r="I466" t="s">
        <v>2509</v>
      </c>
    </row>
    <row r="467" spans="1:13" x14ac:dyDescent="0.3">
      <c r="A467" t="s">
        <v>214</v>
      </c>
      <c r="B467" t="s">
        <v>215</v>
      </c>
      <c r="C467">
        <v>7498610</v>
      </c>
      <c r="D467">
        <v>101059054</v>
      </c>
      <c r="E467" t="s">
        <v>216</v>
      </c>
      <c r="G467" t="s">
        <v>2386</v>
      </c>
      <c r="H467" t="s">
        <v>2510</v>
      </c>
      <c r="I467" t="s">
        <v>2511</v>
      </c>
      <c r="L467" t="s">
        <v>2512</v>
      </c>
    </row>
    <row r="468" spans="1:13" x14ac:dyDescent="0.3">
      <c r="A468" t="s">
        <v>217</v>
      </c>
      <c r="B468" t="s">
        <v>215</v>
      </c>
      <c r="C468">
        <v>7498610</v>
      </c>
      <c r="D468">
        <v>101059052</v>
      </c>
      <c r="E468" t="s">
        <v>218</v>
      </c>
      <c r="G468" t="s">
        <v>2198</v>
      </c>
      <c r="H468" t="s">
        <v>2513</v>
      </c>
      <c r="I468" t="s">
        <v>2514</v>
      </c>
      <c r="L468" t="s">
        <v>2512</v>
      </c>
    </row>
    <row r="469" spans="1:13" x14ac:dyDescent="0.3">
      <c r="A469" t="s">
        <v>219</v>
      </c>
      <c r="B469" t="s">
        <v>215</v>
      </c>
      <c r="C469">
        <v>7498610</v>
      </c>
      <c r="D469">
        <v>101059062</v>
      </c>
      <c r="E469" t="s">
        <v>220</v>
      </c>
      <c r="G469" t="s">
        <v>2198</v>
      </c>
      <c r="H469" t="s">
        <v>2515</v>
      </c>
      <c r="I469" t="s">
        <v>2516</v>
      </c>
      <c r="L469" t="s">
        <v>2512</v>
      </c>
    </row>
    <row r="470" spans="1:13" x14ac:dyDescent="0.3">
      <c r="A470" t="s">
        <v>2517</v>
      </c>
      <c r="B470" t="s">
        <v>215</v>
      </c>
      <c r="C470">
        <v>7498610</v>
      </c>
      <c r="D470">
        <v>101079761</v>
      </c>
      <c r="E470" t="s">
        <v>2518</v>
      </c>
      <c r="G470" t="s">
        <v>2198</v>
      </c>
      <c r="H470" t="s">
        <v>1259</v>
      </c>
      <c r="I470" t="s">
        <v>2519</v>
      </c>
      <c r="L470" t="s">
        <v>2512</v>
      </c>
    </row>
    <row r="471" spans="1:13" x14ac:dyDescent="0.3">
      <c r="A471" t="s">
        <v>221</v>
      </c>
      <c r="B471" t="s">
        <v>222</v>
      </c>
      <c r="C471">
        <v>520170</v>
      </c>
      <c r="D471">
        <v>101361968</v>
      </c>
      <c r="E471" t="s">
        <v>223</v>
      </c>
      <c r="F471" t="s">
        <v>135</v>
      </c>
      <c r="G471" t="s">
        <v>224</v>
      </c>
      <c r="J471" s="13"/>
      <c r="K471" s="13"/>
      <c r="L471" s="13"/>
      <c r="M471" s="13"/>
    </row>
    <row r="472" spans="1:13" x14ac:dyDescent="0.3">
      <c r="A472" t="s">
        <v>225</v>
      </c>
      <c r="B472" t="s">
        <v>222</v>
      </c>
      <c r="C472">
        <v>520170</v>
      </c>
      <c r="D472">
        <v>100908800</v>
      </c>
      <c r="E472" t="s">
        <v>226</v>
      </c>
      <c r="F472" t="s">
        <v>135</v>
      </c>
      <c r="G472" t="s">
        <v>224</v>
      </c>
      <c r="J472" s="13"/>
      <c r="K472" s="13"/>
      <c r="L472" s="13"/>
      <c r="M472" s="13"/>
    </row>
    <row r="473" spans="1:13" x14ac:dyDescent="0.3">
      <c r="A473" t="s">
        <v>227</v>
      </c>
      <c r="B473" t="s">
        <v>222</v>
      </c>
      <c r="C473">
        <v>520170</v>
      </c>
      <c r="D473">
        <v>100908796</v>
      </c>
      <c r="E473" t="s">
        <v>135</v>
      </c>
      <c r="F473" t="s">
        <v>135</v>
      </c>
      <c r="G473" t="s">
        <v>224</v>
      </c>
      <c r="J473" s="13"/>
      <c r="K473" s="13"/>
      <c r="L473" s="13"/>
      <c r="M473" s="13"/>
    </row>
    <row r="474" spans="1:13" x14ac:dyDescent="0.3">
      <c r="A474" t="s">
        <v>228</v>
      </c>
      <c r="B474" t="s">
        <v>222</v>
      </c>
      <c r="C474">
        <v>520170</v>
      </c>
      <c r="D474">
        <v>101361967</v>
      </c>
      <c r="E474" t="s">
        <v>229</v>
      </c>
      <c r="F474" t="s">
        <v>135</v>
      </c>
      <c r="G474" t="s">
        <v>224</v>
      </c>
      <c r="J474" s="13"/>
      <c r="K474" s="13"/>
      <c r="L474" s="13"/>
      <c r="M474" s="13"/>
    </row>
    <row r="475" spans="1:13" x14ac:dyDescent="0.3">
      <c r="A475" t="s">
        <v>230</v>
      </c>
      <c r="B475" t="s">
        <v>222</v>
      </c>
      <c r="C475">
        <v>520170</v>
      </c>
      <c r="D475">
        <v>100908797</v>
      </c>
      <c r="E475" t="s">
        <v>135</v>
      </c>
      <c r="F475" t="s">
        <v>135</v>
      </c>
      <c r="G475" t="s">
        <v>224</v>
      </c>
      <c r="J475" s="13"/>
      <c r="K475" s="13"/>
      <c r="L475" s="13"/>
      <c r="M475" s="13"/>
    </row>
    <row r="476" spans="1:13" x14ac:dyDescent="0.3">
      <c r="A476" t="s">
        <v>231</v>
      </c>
      <c r="B476" t="s">
        <v>222</v>
      </c>
      <c r="C476">
        <v>520170</v>
      </c>
      <c r="D476">
        <v>101361966</v>
      </c>
      <c r="E476" t="s">
        <v>232</v>
      </c>
      <c r="F476" t="s">
        <v>135</v>
      </c>
      <c r="G476" t="s">
        <v>224</v>
      </c>
      <c r="J476" s="13"/>
      <c r="K476" s="13"/>
      <c r="L476" s="13"/>
      <c r="M476" s="13"/>
    </row>
    <row r="477" spans="1:13" x14ac:dyDescent="0.3">
      <c r="A477" t="s">
        <v>233</v>
      </c>
      <c r="B477" t="s">
        <v>222</v>
      </c>
      <c r="C477">
        <v>520170</v>
      </c>
      <c r="D477">
        <v>100908795</v>
      </c>
      <c r="E477" t="s">
        <v>135</v>
      </c>
      <c r="F477" t="s">
        <v>135</v>
      </c>
      <c r="G477" t="s">
        <v>224</v>
      </c>
      <c r="J477" s="13"/>
      <c r="K477" s="13"/>
      <c r="L477" s="13"/>
      <c r="M477" s="13"/>
    </row>
    <row r="478" spans="1:13" x14ac:dyDescent="0.3">
      <c r="A478" t="s">
        <v>234</v>
      </c>
      <c r="B478" t="s">
        <v>222</v>
      </c>
      <c r="C478">
        <v>520170</v>
      </c>
      <c r="D478">
        <v>100908798</v>
      </c>
      <c r="E478" t="s">
        <v>235</v>
      </c>
      <c r="F478" t="s">
        <v>135</v>
      </c>
      <c r="G478" t="s">
        <v>224</v>
      </c>
      <c r="J478" s="13"/>
      <c r="K478" s="13"/>
      <c r="L478" s="13"/>
      <c r="M478" s="13"/>
    </row>
    <row r="479" spans="1:13" x14ac:dyDescent="0.3">
      <c r="A479" t="s">
        <v>236</v>
      </c>
      <c r="B479" t="s">
        <v>222</v>
      </c>
      <c r="C479">
        <v>520170</v>
      </c>
      <c r="D479">
        <v>100908801</v>
      </c>
      <c r="E479" t="s">
        <v>237</v>
      </c>
      <c r="F479" t="s">
        <v>135</v>
      </c>
      <c r="G479" t="s">
        <v>224</v>
      </c>
      <c r="J479" s="13"/>
      <c r="K479" s="13"/>
      <c r="L479" s="13"/>
      <c r="M479" s="13"/>
    </row>
    <row r="480" spans="1:13" x14ac:dyDescent="0.3">
      <c r="A480" t="s">
        <v>238</v>
      </c>
      <c r="B480" t="s">
        <v>222</v>
      </c>
      <c r="C480">
        <v>520170</v>
      </c>
      <c r="D480">
        <v>100908799</v>
      </c>
      <c r="E480" t="s">
        <v>239</v>
      </c>
      <c r="F480" t="s">
        <v>135</v>
      </c>
      <c r="G480" t="s">
        <v>224</v>
      </c>
      <c r="J480" s="13"/>
      <c r="K480" s="13"/>
      <c r="L480" s="13"/>
      <c r="M480" s="13"/>
    </row>
    <row r="481" spans="1:12" x14ac:dyDescent="0.3">
      <c r="A481" t="s">
        <v>2149</v>
      </c>
      <c r="B481" t="s">
        <v>2463</v>
      </c>
      <c r="C481">
        <v>520170</v>
      </c>
      <c r="D481">
        <v>120171983</v>
      </c>
      <c r="E481" t="s">
        <v>2464</v>
      </c>
      <c r="G481" t="s">
        <v>2198</v>
      </c>
      <c r="H481" t="s">
        <v>2465</v>
      </c>
      <c r="I481" t="s">
        <v>2466</v>
      </c>
    </row>
    <row r="482" spans="1:12" x14ac:dyDescent="0.3">
      <c r="A482" t="s">
        <v>2467</v>
      </c>
      <c r="B482" t="s">
        <v>2463</v>
      </c>
      <c r="C482">
        <v>520170</v>
      </c>
      <c r="D482">
        <v>101140240</v>
      </c>
      <c r="E482" t="s">
        <v>2468</v>
      </c>
      <c r="G482" t="s">
        <v>2198</v>
      </c>
      <c r="H482" t="s">
        <v>2469</v>
      </c>
      <c r="I482" t="s">
        <v>2470</v>
      </c>
      <c r="J482" t="s">
        <v>2431</v>
      </c>
      <c r="L482" t="s">
        <v>2471</v>
      </c>
    </row>
    <row r="483" spans="1:12" x14ac:dyDescent="0.3">
      <c r="A483" t="s">
        <v>221</v>
      </c>
      <c r="B483" t="s">
        <v>2463</v>
      </c>
      <c r="C483">
        <v>520170</v>
      </c>
      <c r="D483">
        <v>101058774</v>
      </c>
      <c r="E483" t="s">
        <v>223</v>
      </c>
      <c r="G483" t="s">
        <v>2386</v>
      </c>
      <c r="H483" t="s">
        <v>1218</v>
      </c>
      <c r="I483" t="s">
        <v>2472</v>
      </c>
      <c r="L483" t="s">
        <v>2471</v>
      </c>
    </row>
    <row r="484" spans="1:12" x14ac:dyDescent="0.3">
      <c r="A484" t="s">
        <v>2145</v>
      </c>
      <c r="B484" t="s">
        <v>2463</v>
      </c>
      <c r="C484">
        <v>520170</v>
      </c>
      <c r="D484">
        <v>120171979</v>
      </c>
      <c r="E484" t="s">
        <v>2473</v>
      </c>
      <c r="G484" t="s">
        <v>2198</v>
      </c>
      <c r="H484" t="s">
        <v>2474</v>
      </c>
      <c r="I484" t="s">
        <v>2475</v>
      </c>
    </row>
    <row r="485" spans="1:12" x14ac:dyDescent="0.3">
      <c r="A485" t="s">
        <v>1992</v>
      </c>
      <c r="B485" t="s">
        <v>2463</v>
      </c>
      <c r="C485">
        <v>520170</v>
      </c>
      <c r="D485">
        <v>120169795</v>
      </c>
      <c r="E485" t="s">
        <v>2476</v>
      </c>
      <c r="G485" t="s">
        <v>2198</v>
      </c>
      <c r="H485" t="s">
        <v>1182</v>
      </c>
      <c r="I485" t="s">
        <v>2477</v>
      </c>
    </row>
    <row r="486" spans="1:12" x14ac:dyDescent="0.3">
      <c r="A486" t="s">
        <v>2144</v>
      </c>
      <c r="B486" t="s">
        <v>2463</v>
      </c>
      <c r="C486">
        <v>520170</v>
      </c>
      <c r="D486">
        <v>120171978</v>
      </c>
      <c r="E486" t="s">
        <v>2478</v>
      </c>
      <c r="G486" t="s">
        <v>2198</v>
      </c>
      <c r="H486" t="s">
        <v>1258</v>
      </c>
      <c r="I486" t="s">
        <v>2479</v>
      </c>
    </row>
    <row r="487" spans="1:12" x14ac:dyDescent="0.3">
      <c r="A487" t="s">
        <v>225</v>
      </c>
      <c r="B487" t="s">
        <v>2463</v>
      </c>
      <c r="C487">
        <v>520170</v>
      </c>
      <c r="D487">
        <v>100733292</v>
      </c>
      <c r="E487" t="s">
        <v>226</v>
      </c>
      <c r="G487" t="s">
        <v>2198</v>
      </c>
      <c r="H487" t="s">
        <v>2396</v>
      </c>
      <c r="I487" t="s">
        <v>2480</v>
      </c>
      <c r="K487" t="s">
        <v>2481</v>
      </c>
      <c r="L487" t="s">
        <v>2482</v>
      </c>
    </row>
    <row r="488" spans="1:12" x14ac:dyDescent="0.3">
      <c r="A488" t="s">
        <v>227</v>
      </c>
      <c r="B488" t="s">
        <v>2463</v>
      </c>
      <c r="C488">
        <v>520170</v>
      </c>
      <c r="D488">
        <v>100733288</v>
      </c>
      <c r="G488" t="s">
        <v>2198</v>
      </c>
      <c r="H488" t="s">
        <v>1115</v>
      </c>
      <c r="I488" t="s">
        <v>2483</v>
      </c>
      <c r="L488" t="s">
        <v>2484</v>
      </c>
    </row>
    <row r="489" spans="1:12" x14ac:dyDescent="0.3">
      <c r="A489" t="s">
        <v>1993</v>
      </c>
      <c r="B489" t="s">
        <v>2463</v>
      </c>
      <c r="C489">
        <v>520170</v>
      </c>
      <c r="D489">
        <v>120171890</v>
      </c>
      <c r="E489" t="s">
        <v>2485</v>
      </c>
      <c r="F489" t="s">
        <v>2486</v>
      </c>
      <c r="G489" t="s">
        <v>2198</v>
      </c>
      <c r="H489" t="s">
        <v>2487</v>
      </c>
      <c r="I489" t="s">
        <v>2488</v>
      </c>
    </row>
    <row r="490" spans="1:12" x14ac:dyDescent="0.3">
      <c r="A490" t="s">
        <v>2150</v>
      </c>
      <c r="B490" t="s">
        <v>2463</v>
      </c>
      <c r="C490">
        <v>520170</v>
      </c>
      <c r="D490">
        <v>120171984</v>
      </c>
      <c r="E490" t="s">
        <v>2489</v>
      </c>
      <c r="G490" t="s">
        <v>2198</v>
      </c>
      <c r="H490" t="s">
        <v>1136</v>
      </c>
      <c r="I490" t="s">
        <v>1157</v>
      </c>
    </row>
    <row r="491" spans="1:12" x14ac:dyDescent="0.3">
      <c r="A491" t="s">
        <v>2687</v>
      </c>
      <c r="B491" t="s">
        <v>2463</v>
      </c>
      <c r="C491">
        <v>520170</v>
      </c>
      <c r="D491">
        <v>101140241</v>
      </c>
      <c r="E491" t="s">
        <v>2688</v>
      </c>
      <c r="F491" t="s">
        <v>2689</v>
      </c>
      <c r="G491" t="s">
        <v>2198</v>
      </c>
      <c r="H491" t="s">
        <v>2690</v>
      </c>
      <c r="I491" t="s">
        <v>2691</v>
      </c>
      <c r="L491" t="s">
        <v>2471</v>
      </c>
    </row>
    <row r="492" spans="1:12" x14ac:dyDescent="0.3">
      <c r="A492" t="s">
        <v>2147</v>
      </c>
      <c r="B492" t="s">
        <v>2463</v>
      </c>
      <c r="C492">
        <v>520170</v>
      </c>
      <c r="D492">
        <v>120171981</v>
      </c>
      <c r="E492" t="s">
        <v>2692</v>
      </c>
      <c r="G492" t="s">
        <v>2198</v>
      </c>
      <c r="H492" t="s">
        <v>2693</v>
      </c>
      <c r="I492" t="s">
        <v>2694</v>
      </c>
    </row>
    <row r="493" spans="1:12" x14ac:dyDescent="0.3">
      <c r="A493" t="s">
        <v>2695</v>
      </c>
      <c r="B493" t="s">
        <v>2463</v>
      </c>
      <c r="C493">
        <v>520170</v>
      </c>
      <c r="D493">
        <v>120169794</v>
      </c>
      <c r="E493" t="s">
        <v>2696</v>
      </c>
      <c r="G493" t="s">
        <v>2198</v>
      </c>
      <c r="H493" t="s">
        <v>1226</v>
      </c>
      <c r="I493" t="s">
        <v>2697</v>
      </c>
      <c r="J493" t="s">
        <v>2698</v>
      </c>
      <c r="K493" t="s">
        <v>2432</v>
      </c>
      <c r="L493" t="s">
        <v>2699</v>
      </c>
    </row>
    <row r="494" spans="1:12" x14ac:dyDescent="0.3">
      <c r="A494" t="s">
        <v>228</v>
      </c>
      <c r="B494" t="s">
        <v>2463</v>
      </c>
      <c r="C494">
        <v>520170</v>
      </c>
      <c r="D494">
        <v>101058767</v>
      </c>
      <c r="E494" t="s">
        <v>229</v>
      </c>
      <c r="G494" t="s">
        <v>2198</v>
      </c>
      <c r="H494" t="s">
        <v>1133</v>
      </c>
      <c r="I494" t="s">
        <v>2700</v>
      </c>
      <c r="L494" t="s">
        <v>2471</v>
      </c>
    </row>
    <row r="495" spans="1:12" x14ac:dyDescent="0.3">
      <c r="A495" t="s">
        <v>2701</v>
      </c>
      <c r="B495" t="s">
        <v>2463</v>
      </c>
      <c r="C495">
        <v>520170</v>
      </c>
      <c r="D495">
        <v>101140219</v>
      </c>
      <c r="E495" t="s">
        <v>2702</v>
      </c>
      <c r="G495" t="s">
        <v>2198</v>
      </c>
      <c r="H495" t="s">
        <v>2703</v>
      </c>
      <c r="I495" t="s">
        <v>2704</v>
      </c>
      <c r="J495" t="s">
        <v>2431</v>
      </c>
      <c r="L495" t="s">
        <v>2705</v>
      </c>
    </row>
    <row r="496" spans="1:12" x14ac:dyDescent="0.3">
      <c r="A496" t="s">
        <v>230</v>
      </c>
      <c r="B496" t="s">
        <v>2463</v>
      </c>
      <c r="C496">
        <v>520170</v>
      </c>
      <c r="D496">
        <v>100733289</v>
      </c>
      <c r="G496" t="s">
        <v>2198</v>
      </c>
      <c r="H496" t="s">
        <v>1169</v>
      </c>
      <c r="I496" t="s">
        <v>2706</v>
      </c>
      <c r="L496" t="s">
        <v>2482</v>
      </c>
    </row>
    <row r="497" spans="1:13" x14ac:dyDescent="0.3">
      <c r="A497" t="s">
        <v>2707</v>
      </c>
      <c r="B497" t="s">
        <v>2463</v>
      </c>
      <c r="C497">
        <v>520170</v>
      </c>
      <c r="D497">
        <v>101140243</v>
      </c>
      <c r="E497" t="s">
        <v>2708</v>
      </c>
      <c r="F497" t="s">
        <v>2709</v>
      </c>
      <c r="G497" t="s">
        <v>2386</v>
      </c>
      <c r="H497" t="s">
        <v>2710</v>
      </c>
      <c r="I497" t="s">
        <v>1251</v>
      </c>
      <c r="L497" t="s">
        <v>2711</v>
      </c>
    </row>
    <row r="498" spans="1:13" x14ac:dyDescent="0.3">
      <c r="A498" t="s">
        <v>231</v>
      </c>
      <c r="B498" t="s">
        <v>2463</v>
      </c>
      <c r="C498">
        <v>520170</v>
      </c>
      <c r="D498">
        <v>101058773</v>
      </c>
      <c r="E498" t="s">
        <v>232</v>
      </c>
      <c r="G498" t="s">
        <v>2198</v>
      </c>
      <c r="H498" t="s">
        <v>2515</v>
      </c>
      <c r="I498" t="s">
        <v>2712</v>
      </c>
      <c r="L498" t="s">
        <v>2471</v>
      </c>
    </row>
    <row r="499" spans="1:13" x14ac:dyDescent="0.3">
      <c r="A499" t="s">
        <v>2713</v>
      </c>
      <c r="B499" t="s">
        <v>2463</v>
      </c>
      <c r="C499">
        <v>520170</v>
      </c>
      <c r="D499">
        <v>101140242</v>
      </c>
      <c r="E499" t="s">
        <v>2714</v>
      </c>
      <c r="F499" t="s">
        <v>2715</v>
      </c>
      <c r="G499" t="s">
        <v>2386</v>
      </c>
      <c r="H499" t="s">
        <v>2716</v>
      </c>
      <c r="I499" t="s">
        <v>2717</v>
      </c>
      <c r="L499" t="s">
        <v>2718</v>
      </c>
    </row>
    <row r="500" spans="1:13" x14ac:dyDescent="0.3">
      <c r="A500" t="s">
        <v>233</v>
      </c>
      <c r="B500" t="s">
        <v>2463</v>
      </c>
      <c r="C500">
        <v>520170</v>
      </c>
      <c r="D500">
        <v>100733287</v>
      </c>
      <c r="G500" t="s">
        <v>2198</v>
      </c>
      <c r="H500" t="s">
        <v>1135</v>
      </c>
      <c r="I500" t="s">
        <v>2719</v>
      </c>
      <c r="L500" t="s">
        <v>2484</v>
      </c>
    </row>
    <row r="501" spans="1:13" x14ac:dyDescent="0.3">
      <c r="A501" t="s">
        <v>234</v>
      </c>
      <c r="B501" t="s">
        <v>2463</v>
      </c>
      <c r="C501">
        <v>520170</v>
      </c>
      <c r="D501">
        <v>100733290</v>
      </c>
      <c r="E501" t="s">
        <v>235</v>
      </c>
      <c r="G501" t="s">
        <v>2198</v>
      </c>
      <c r="H501" t="s">
        <v>2720</v>
      </c>
      <c r="I501" t="s">
        <v>2721</v>
      </c>
      <c r="K501" t="s">
        <v>2722</v>
      </c>
      <c r="L501" t="s">
        <v>2723</v>
      </c>
    </row>
    <row r="502" spans="1:13" x14ac:dyDescent="0.3">
      <c r="A502" t="s">
        <v>236</v>
      </c>
      <c r="B502" t="s">
        <v>2463</v>
      </c>
      <c r="C502">
        <v>520170</v>
      </c>
      <c r="D502">
        <v>100733293</v>
      </c>
      <c r="E502" t="s">
        <v>237</v>
      </c>
      <c r="G502" t="s">
        <v>2198</v>
      </c>
      <c r="H502" t="s">
        <v>2724</v>
      </c>
      <c r="I502" t="s">
        <v>2725</v>
      </c>
      <c r="L502" t="s">
        <v>2726</v>
      </c>
    </row>
    <row r="503" spans="1:13" x14ac:dyDescent="0.3">
      <c r="A503" t="s">
        <v>2148</v>
      </c>
      <c r="B503" t="s">
        <v>2463</v>
      </c>
      <c r="C503">
        <v>520170</v>
      </c>
      <c r="D503">
        <v>120171982</v>
      </c>
      <c r="E503" t="s">
        <v>2727</v>
      </c>
      <c r="G503" t="s">
        <v>2198</v>
      </c>
      <c r="H503" t="s">
        <v>1150</v>
      </c>
      <c r="I503" t="s">
        <v>2728</v>
      </c>
    </row>
    <row r="504" spans="1:13" x14ac:dyDescent="0.3">
      <c r="A504" t="s">
        <v>238</v>
      </c>
      <c r="B504" t="s">
        <v>2463</v>
      </c>
      <c r="C504">
        <v>520170</v>
      </c>
      <c r="D504">
        <v>100733291</v>
      </c>
      <c r="E504" t="s">
        <v>239</v>
      </c>
      <c r="G504" t="s">
        <v>2198</v>
      </c>
      <c r="H504" t="s">
        <v>2572</v>
      </c>
      <c r="I504" t="s">
        <v>2729</v>
      </c>
      <c r="K504" t="s">
        <v>2730</v>
      </c>
      <c r="L504" t="s">
        <v>2482</v>
      </c>
    </row>
    <row r="505" spans="1:13" x14ac:dyDescent="0.3">
      <c r="A505" t="s">
        <v>2146</v>
      </c>
      <c r="B505" t="s">
        <v>2463</v>
      </c>
      <c r="C505">
        <v>520170</v>
      </c>
      <c r="D505">
        <v>120171980</v>
      </c>
      <c r="E505" t="s">
        <v>2731</v>
      </c>
      <c r="G505" t="s">
        <v>2198</v>
      </c>
      <c r="H505" t="s">
        <v>1119</v>
      </c>
      <c r="I505" t="s">
        <v>2732</v>
      </c>
    </row>
    <row r="506" spans="1:13" x14ac:dyDescent="0.3">
      <c r="A506" t="s">
        <v>868</v>
      </c>
      <c r="B506" t="s">
        <v>869</v>
      </c>
      <c r="C506">
        <v>7505489</v>
      </c>
      <c r="D506">
        <v>101389765</v>
      </c>
      <c r="E506" t="s">
        <v>870</v>
      </c>
      <c r="F506" t="s">
        <v>871</v>
      </c>
      <c r="G506" t="s">
        <v>872</v>
      </c>
      <c r="I506" t="s">
        <v>1131</v>
      </c>
      <c r="J506" t="s">
        <v>1132</v>
      </c>
    </row>
    <row r="507" spans="1:13" x14ac:dyDescent="0.3">
      <c r="A507" t="s">
        <v>240</v>
      </c>
      <c r="B507" t="s">
        <v>241</v>
      </c>
      <c r="C507">
        <v>7498612</v>
      </c>
      <c r="D507">
        <v>101362254</v>
      </c>
      <c r="E507" t="s">
        <v>242</v>
      </c>
      <c r="F507" t="s">
        <v>135</v>
      </c>
      <c r="G507" t="s">
        <v>243</v>
      </c>
      <c r="J507" s="13"/>
      <c r="K507" s="13"/>
      <c r="L507" s="13"/>
      <c r="M507" s="13"/>
    </row>
    <row r="508" spans="1:13" x14ac:dyDescent="0.3">
      <c r="A508" t="s">
        <v>244</v>
      </c>
      <c r="B508" t="s">
        <v>241</v>
      </c>
      <c r="C508">
        <v>7498612</v>
      </c>
      <c r="D508">
        <v>101362253</v>
      </c>
      <c r="E508" t="s">
        <v>245</v>
      </c>
      <c r="F508" t="s">
        <v>135</v>
      </c>
      <c r="G508" t="s">
        <v>243</v>
      </c>
      <c r="J508" s="13"/>
      <c r="K508" s="13"/>
      <c r="L508" s="13"/>
      <c r="M508" s="13"/>
    </row>
    <row r="509" spans="1:13" x14ac:dyDescent="0.3">
      <c r="A509" t="s">
        <v>2828</v>
      </c>
      <c r="B509" t="s">
        <v>2829</v>
      </c>
      <c r="C509">
        <v>120172476</v>
      </c>
      <c r="D509">
        <v>120172479</v>
      </c>
      <c r="E509" t="s">
        <v>2830</v>
      </c>
      <c r="H509" t="s">
        <v>2851</v>
      </c>
      <c r="I509" t="s">
        <v>2852</v>
      </c>
      <c r="J509" t="s">
        <v>2200</v>
      </c>
    </row>
    <row r="510" spans="1:13" x14ac:dyDescent="0.3">
      <c r="A510" t="s">
        <v>2831</v>
      </c>
      <c r="B510" t="s">
        <v>2829</v>
      </c>
      <c r="C510">
        <v>120172476</v>
      </c>
      <c r="D510">
        <v>120172478</v>
      </c>
      <c r="E510" t="s">
        <v>2832</v>
      </c>
      <c r="H510" t="s">
        <v>2853</v>
      </c>
      <c r="I510" t="s">
        <v>2854</v>
      </c>
      <c r="J510" t="s">
        <v>2200</v>
      </c>
    </row>
    <row r="511" spans="1:13" x14ac:dyDescent="0.3">
      <c r="A511" t="s">
        <v>2833</v>
      </c>
      <c r="B511" t="s">
        <v>2829</v>
      </c>
      <c r="C511">
        <v>120172476</v>
      </c>
      <c r="D511">
        <v>120172477</v>
      </c>
      <c r="E511" t="s">
        <v>2834</v>
      </c>
      <c r="H511" t="s">
        <v>1198</v>
      </c>
      <c r="I511" t="s">
        <v>2855</v>
      </c>
      <c r="J511" t="s">
        <v>2200</v>
      </c>
    </row>
    <row r="512" spans="1:13" x14ac:dyDescent="0.3">
      <c r="A512" s="13" t="s">
        <v>52</v>
      </c>
      <c r="B512" s="13" t="s">
        <v>53</v>
      </c>
      <c r="C512" s="13">
        <v>7410462</v>
      </c>
      <c r="D512" s="13">
        <v>100971157</v>
      </c>
      <c r="J512" s="13"/>
      <c r="K512" s="13"/>
      <c r="L512" s="13"/>
      <c r="M512" s="13"/>
    </row>
    <row r="513" spans="1:13" x14ac:dyDescent="0.3">
      <c r="A513" s="13" t="s">
        <v>112</v>
      </c>
      <c r="B513" s="13" t="s">
        <v>53</v>
      </c>
      <c r="C513" s="13">
        <v>7410462</v>
      </c>
      <c r="D513" s="13">
        <v>101189830</v>
      </c>
      <c r="J513" s="13"/>
      <c r="K513" s="13"/>
      <c r="L513" s="13"/>
      <c r="M513" s="13"/>
    </row>
    <row r="514" spans="1:13" x14ac:dyDescent="0.3">
      <c r="A514" t="s">
        <v>2142</v>
      </c>
      <c r="B514" t="s">
        <v>2214</v>
      </c>
      <c r="C514">
        <v>120171914</v>
      </c>
      <c r="D514">
        <v>120171976</v>
      </c>
      <c r="E514" t="s">
        <v>2215</v>
      </c>
      <c r="G514" t="s">
        <v>2198</v>
      </c>
      <c r="H514" t="s">
        <v>1196</v>
      </c>
      <c r="I514" t="s">
        <v>2216</v>
      </c>
      <c r="J514" t="s">
        <v>2200</v>
      </c>
    </row>
    <row r="515" spans="1:13" x14ac:dyDescent="0.3">
      <c r="A515" t="s">
        <v>2143</v>
      </c>
      <c r="B515" t="s">
        <v>2214</v>
      </c>
      <c r="C515">
        <v>120171914</v>
      </c>
      <c r="D515">
        <v>120171977</v>
      </c>
      <c r="E515" t="s">
        <v>2217</v>
      </c>
      <c r="G515" t="s">
        <v>2198</v>
      </c>
      <c r="H515" t="s">
        <v>2218</v>
      </c>
      <c r="I515" t="s">
        <v>2219</v>
      </c>
      <c r="J515" t="s">
        <v>2200</v>
      </c>
    </row>
    <row r="516" spans="1:13" x14ac:dyDescent="0.3">
      <c r="A516" t="s">
        <v>2011</v>
      </c>
      <c r="B516" t="s">
        <v>2017</v>
      </c>
      <c r="C516">
        <v>7463022</v>
      </c>
      <c r="D516">
        <v>120171249</v>
      </c>
      <c r="E516" t="s">
        <v>2018</v>
      </c>
      <c r="H516" s="15" t="str">
        <f>IF(ISBLANK(#REF!),"",IFERROR(LEFT(#REF!,SEARCH(" ",#REF!)-1),""))</f>
        <v/>
      </c>
      <c r="I516" s="15" t="str">
        <f>IF(ISBLANK(#REF!),"",IFERROR(RIGHT(#REF!,LEN(#REF!)-SEARCH(" ",#REF!)),""))</f>
        <v/>
      </c>
    </row>
    <row r="517" spans="1:13" x14ac:dyDescent="0.3">
      <c r="A517" t="s">
        <v>2010</v>
      </c>
      <c r="B517" t="s">
        <v>2017</v>
      </c>
      <c r="C517">
        <v>7463022</v>
      </c>
      <c r="D517">
        <v>120171155</v>
      </c>
      <c r="F517" t="s">
        <v>2019</v>
      </c>
      <c r="H517" s="15" t="str">
        <f>IF(ISBLANK(#REF!),"",IFERROR(LEFT(#REF!,SEARCH(" ",#REF!)-1),""))</f>
        <v/>
      </c>
      <c r="I517" s="15" t="str">
        <f>IF(ISBLANK(#REF!),"",IFERROR(RIGHT(#REF!,LEN(#REF!)-SEARCH(" ",#REF!)),""))</f>
        <v/>
      </c>
    </row>
    <row r="518" spans="1:13" x14ac:dyDescent="0.3">
      <c r="A518" t="s">
        <v>2020</v>
      </c>
      <c r="B518" t="s">
        <v>2017</v>
      </c>
      <c r="C518">
        <v>7463022</v>
      </c>
      <c r="D518">
        <v>100994250</v>
      </c>
      <c r="E518" t="s">
        <v>2021</v>
      </c>
      <c r="H518" s="15" t="str">
        <f>IF(ISBLANK(#REF!),"",IFERROR(LEFT(#REF!,SEARCH(" ",#REF!)-1),""))</f>
        <v/>
      </c>
      <c r="I518" s="15" t="str">
        <f>IF(ISBLANK(#REF!),"",IFERROR(RIGHT(#REF!,LEN(#REF!)-SEARCH(" ",#REF!)),""))</f>
        <v/>
      </c>
    </row>
    <row r="519" spans="1:13" x14ac:dyDescent="0.3">
      <c r="A519" t="s">
        <v>2022</v>
      </c>
      <c r="B519" t="s">
        <v>2017</v>
      </c>
      <c r="C519">
        <v>7463022</v>
      </c>
      <c r="D519">
        <v>101140249</v>
      </c>
      <c r="E519" t="s">
        <v>2023</v>
      </c>
      <c r="H519" s="15" t="str">
        <f>IF(ISBLANK(#REF!),"",IFERROR(LEFT(#REF!,SEARCH(" ",#REF!)-1),""))</f>
        <v/>
      </c>
      <c r="I519" s="15" t="str">
        <f>IF(ISBLANK(#REF!),"",IFERROR(RIGHT(#REF!,LEN(#REF!)-SEARCH(" ",#REF!)),""))</f>
        <v/>
      </c>
    </row>
    <row r="520" spans="1:13" x14ac:dyDescent="0.3">
      <c r="A520" t="s">
        <v>2763</v>
      </c>
      <c r="B520" t="s">
        <v>2017</v>
      </c>
      <c r="C520">
        <v>7463022</v>
      </c>
      <c r="D520">
        <v>120172474</v>
      </c>
      <c r="E520" s="16" t="s">
        <v>2764</v>
      </c>
      <c r="H520" t="s">
        <v>1355</v>
      </c>
      <c r="I520" t="s">
        <v>2858</v>
      </c>
    </row>
    <row r="521" spans="1:13" x14ac:dyDescent="0.3">
      <c r="A521" s="13" t="s">
        <v>34</v>
      </c>
      <c r="B521" s="13" t="s">
        <v>35</v>
      </c>
      <c r="C521" s="13">
        <v>532264</v>
      </c>
      <c r="D521" s="13">
        <v>101225859</v>
      </c>
      <c r="J521" s="13"/>
      <c r="K521" s="13"/>
      <c r="L521" s="13"/>
      <c r="M521" s="13"/>
    </row>
    <row r="522" spans="1:13" x14ac:dyDescent="0.3">
      <c r="A522" t="s">
        <v>886</v>
      </c>
      <c r="B522" t="s">
        <v>887</v>
      </c>
      <c r="C522">
        <v>7411261</v>
      </c>
      <c r="D522">
        <v>100974302</v>
      </c>
      <c r="E522" t="s">
        <v>888</v>
      </c>
      <c r="F522" t="s">
        <v>135</v>
      </c>
      <c r="G522" t="s">
        <v>889</v>
      </c>
      <c r="I522" t="s">
        <v>1129</v>
      </c>
      <c r="J522" t="s">
        <v>1140</v>
      </c>
    </row>
    <row r="523" spans="1:13" x14ac:dyDescent="0.3">
      <c r="A523" t="s">
        <v>890</v>
      </c>
      <c r="B523" t="s">
        <v>887</v>
      </c>
      <c r="C523">
        <v>7411261</v>
      </c>
      <c r="D523">
        <v>101294351</v>
      </c>
      <c r="E523" t="s">
        <v>891</v>
      </c>
      <c r="F523" t="s">
        <v>135</v>
      </c>
      <c r="G523" t="s">
        <v>889</v>
      </c>
      <c r="I523" t="s">
        <v>1141</v>
      </c>
      <c r="J523" t="s">
        <v>1142</v>
      </c>
    </row>
    <row r="524" spans="1:13" x14ac:dyDescent="0.3">
      <c r="A524" t="s">
        <v>246</v>
      </c>
      <c r="B524" t="s">
        <v>247</v>
      </c>
      <c r="C524">
        <v>7498613</v>
      </c>
      <c r="D524">
        <v>101361984</v>
      </c>
      <c r="E524" t="s">
        <v>248</v>
      </c>
      <c r="F524" t="s">
        <v>135</v>
      </c>
      <c r="G524" t="s">
        <v>249</v>
      </c>
      <c r="J524" s="13"/>
      <c r="K524" s="13"/>
      <c r="L524" s="13"/>
      <c r="M524" s="13"/>
    </row>
    <row r="525" spans="1:13" x14ac:dyDescent="0.3">
      <c r="A525" t="s">
        <v>250</v>
      </c>
      <c r="B525" t="s">
        <v>247</v>
      </c>
      <c r="C525">
        <v>7498613</v>
      </c>
      <c r="D525">
        <v>101361982</v>
      </c>
      <c r="E525" t="s">
        <v>251</v>
      </c>
      <c r="F525" t="s">
        <v>135</v>
      </c>
      <c r="G525" t="s">
        <v>249</v>
      </c>
      <c r="J525" s="13"/>
      <c r="K525" s="13"/>
      <c r="L525" s="13"/>
      <c r="M525" s="13"/>
    </row>
    <row r="526" spans="1:13" x14ac:dyDescent="0.3">
      <c r="A526" t="s">
        <v>252</v>
      </c>
      <c r="B526" t="s">
        <v>247</v>
      </c>
      <c r="C526">
        <v>7498613</v>
      </c>
      <c r="D526">
        <v>101361983</v>
      </c>
      <c r="E526" t="s">
        <v>253</v>
      </c>
      <c r="F526" t="s">
        <v>135</v>
      </c>
      <c r="G526" t="s">
        <v>249</v>
      </c>
      <c r="J526" s="13"/>
      <c r="K526" s="13"/>
      <c r="L526" s="13"/>
      <c r="M526" s="13"/>
    </row>
    <row r="527" spans="1:13" x14ac:dyDescent="0.3">
      <c r="A527" t="s">
        <v>246</v>
      </c>
      <c r="B527" t="s">
        <v>247</v>
      </c>
      <c r="C527">
        <v>7498613</v>
      </c>
      <c r="D527">
        <v>101058779</v>
      </c>
      <c r="E527" t="s">
        <v>248</v>
      </c>
      <c r="G527" t="s">
        <v>2198</v>
      </c>
      <c r="H527" t="s">
        <v>2520</v>
      </c>
      <c r="I527" t="s">
        <v>2521</v>
      </c>
      <c r="L527" t="s">
        <v>2522</v>
      </c>
    </row>
    <row r="528" spans="1:13" x14ac:dyDescent="0.3">
      <c r="A528" t="s">
        <v>250</v>
      </c>
      <c r="B528" t="s">
        <v>247</v>
      </c>
      <c r="C528">
        <v>7498613</v>
      </c>
      <c r="D528">
        <v>101058785</v>
      </c>
      <c r="E528" t="s">
        <v>251</v>
      </c>
      <c r="G528" t="s">
        <v>2198</v>
      </c>
      <c r="H528" t="s">
        <v>2523</v>
      </c>
      <c r="I528" t="s">
        <v>2524</v>
      </c>
      <c r="L528" t="s">
        <v>2522</v>
      </c>
    </row>
    <row r="529" spans="1:13" x14ac:dyDescent="0.3">
      <c r="A529" t="s">
        <v>2525</v>
      </c>
      <c r="B529" t="s">
        <v>247</v>
      </c>
      <c r="C529">
        <v>7498613</v>
      </c>
      <c r="D529">
        <v>120171975</v>
      </c>
      <c r="E529" t="s">
        <v>2526</v>
      </c>
      <c r="G529" t="s">
        <v>2198</v>
      </c>
      <c r="H529" t="s">
        <v>2498</v>
      </c>
      <c r="I529" t="s">
        <v>2527</v>
      </c>
    </row>
    <row r="530" spans="1:13" x14ac:dyDescent="0.3">
      <c r="A530" t="s">
        <v>252</v>
      </c>
      <c r="B530" t="s">
        <v>247</v>
      </c>
      <c r="C530">
        <v>7498613</v>
      </c>
      <c r="D530">
        <v>101058792</v>
      </c>
      <c r="E530" t="s">
        <v>253</v>
      </c>
      <c r="G530" t="s">
        <v>2198</v>
      </c>
      <c r="H530" t="s">
        <v>1226</v>
      </c>
      <c r="I530" t="s">
        <v>2528</v>
      </c>
      <c r="L530" t="s">
        <v>2522</v>
      </c>
    </row>
    <row r="531" spans="1:13" x14ac:dyDescent="0.3">
      <c r="A531" t="s">
        <v>2141</v>
      </c>
      <c r="B531" t="s">
        <v>247</v>
      </c>
      <c r="C531">
        <v>7498613</v>
      </c>
      <c r="D531">
        <v>120171974</v>
      </c>
      <c r="E531" t="s">
        <v>2529</v>
      </c>
      <c r="G531" t="s">
        <v>2198</v>
      </c>
      <c r="H531" t="s">
        <v>1113</v>
      </c>
      <c r="I531" t="s">
        <v>2530</v>
      </c>
    </row>
    <row r="532" spans="1:13" x14ac:dyDescent="0.3">
      <c r="A532" s="13" t="s">
        <v>61</v>
      </c>
      <c r="B532" s="13" t="s">
        <v>62</v>
      </c>
      <c r="C532" s="13">
        <v>535466</v>
      </c>
      <c r="D532" s="13">
        <v>100926333</v>
      </c>
      <c r="J532" s="13"/>
      <c r="K532" s="13"/>
      <c r="L532" s="13"/>
      <c r="M532" s="13"/>
    </row>
    <row r="533" spans="1:13" x14ac:dyDescent="0.3">
      <c r="A533" s="13" t="s">
        <v>63</v>
      </c>
      <c r="B533" s="13" t="s">
        <v>62</v>
      </c>
      <c r="C533" s="13">
        <v>535466</v>
      </c>
      <c r="D533" s="13">
        <v>101296668</v>
      </c>
      <c r="J533" s="13"/>
      <c r="K533" s="13"/>
      <c r="L533" s="13"/>
      <c r="M533" s="13"/>
    </row>
    <row r="534" spans="1:13" x14ac:dyDescent="0.3">
      <c r="A534" t="s">
        <v>2531</v>
      </c>
      <c r="B534" t="s">
        <v>2139</v>
      </c>
      <c r="C534">
        <v>7498614</v>
      </c>
      <c r="D534">
        <v>101058786</v>
      </c>
      <c r="E534" t="s">
        <v>2532</v>
      </c>
      <c r="G534" t="s">
        <v>2198</v>
      </c>
      <c r="H534" t="s">
        <v>1113</v>
      </c>
      <c r="I534" t="s">
        <v>2533</v>
      </c>
      <c r="L534" t="s">
        <v>2534</v>
      </c>
    </row>
    <row r="535" spans="1:13" x14ac:dyDescent="0.3">
      <c r="A535" t="s">
        <v>2140</v>
      </c>
      <c r="B535" t="s">
        <v>2139</v>
      </c>
      <c r="C535">
        <v>7498614</v>
      </c>
      <c r="D535">
        <v>120171973</v>
      </c>
      <c r="E535" t="s">
        <v>2535</v>
      </c>
      <c r="G535" t="s">
        <v>2198</v>
      </c>
      <c r="H535" t="s">
        <v>1129</v>
      </c>
      <c r="I535" t="s">
        <v>2536</v>
      </c>
    </row>
    <row r="536" spans="1:13" x14ac:dyDescent="0.3">
      <c r="A536" t="s">
        <v>2138</v>
      </c>
      <c r="B536" t="s">
        <v>2139</v>
      </c>
      <c r="C536">
        <v>7498614</v>
      </c>
      <c r="D536">
        <v>120171971</v>
      </c>
      <c r="E536" t="s">
        <v>2537</v>
      </c>
      <c r="G536" t="s">
        <v>2198</v>
      </c>
      <c r="H536" t="s">
        <v>1162</v>
      </c>
      <c r="I536" t="s">
        <v>2538</v>
      </c>
    </row>
    <row r="537" spans="1:13" x14ac:dyDescent="0.3">
      <c r="A537" t="s">
        <v>2539</v>
      </c>
      <c r="B537" t="s">
        <v>2139</v>
      </c>
      <c r="C537">
        <v>7498614</v>
      </c>
      <c r="D537">
        <v>120171972</v>
      </c>
      <c r="E537" t="s">
        <v>2540</v>
      </c>
      <c r="G537" t="s">
        <v>2198</v>
      </c>
      <c r="H537" t="s">
        <v>2541</v>
      </c>
      <c r="I537" t="s">
        <v>2407</v>
      </c>
    </row>
    <row r="538" spans="1:13" x14ac:dyDescent="0.3">
      <c r="A538" s="13" t="s">
        <v>19</v>
      </c>
      <c r="B538" s="13" t="s">
        <v>20</v>
      </c>
      <c r="C538" s="13">
        <v>530147</v>
      </c>
      <c r="D538" s="13">
        <v>101189841</v>
      </c>
      <c r="J538" s="13"/>
      <c r="K538" s="13"/>
      <c r="L538" s="13"/>
      <c r="M538" s="13"/>
    </row>
    <row r="539" spans="1:13" x14ac:dyDescent="0.3">
      <c r="A539" s="13" t="s">
        <v>33</v>
      </c>
      <c r="B539" s="13" t="s">
        <v>20</v>
      </c>
      <c r="C539" s="13">
        <v>530147</v>
      </c>
      <c r="D539" s="13">
        <v>100919469</v>
      </c>
      <c r="J539" s="13"/>
      <c r="K539" s="13"/>
      <c r="L539" s="13"/>
      <c r="M539" s="13"/>
    </row>
    <row r="540" spans="1:13" x14ac:dyDescent="0.3">
      <c r="A540" s="13" t="s">
        <v>60</v>
      </c>
      <c r="B540" s="13" t="s">
        <v>20</v>
      </c>
      <c r="C540" s="13">
        <v>530147</v>
      </c>
      <c r="D540" s="13">
        <v>100919470</v>
      </c>
      <c r="J540" s="13"/>
      <c r="K540" s="13"/>
      <c r="L540" s="13"/>
      <c r="M540" s="13"/>
    </row>
    <row r="541" spans="1:13" x14ac:dyDescent="0.3">
      <c r="A541" t="s">
        <v>2136</v>
      </c>
      <c r="B541" t="s">
        <v>2137</v>
      </c>
      <c r="C541">
        <v>120171922</v>
      </c>
      <c r="D541">
        <v>120171970</v>
      </c>
      <c r="E541" t="s">
        <v>2268</v>
      </c>
      <c r="G541" t="s">
        <v>2198</v>
      </c>
      <c r="H541" t="s">
        <v>2269</v>
      </c>
      <c r="I541" t="s">
        <v>2270</v>
      </c>
      <c r="J541" t="s">
        <v>2200</v>
      </c>
    </row>
    <row r="542" spans="1:13" x14ac:dyDescent="0.3">
      <c r="A542" t="s">
        <v>2134</v>
      </c>
      <c r="B542" t="s">
        <v>2135</v>
      </c>
      <c r="C542">
        <v>120171911</v>
      </c>
      <c r="D542">
        <v>120171969</v>
      </c>
      <c r="E542" t="s">
        <v>2203</v>
      </c>
      <c r="G542" t="s">
        <v>2198</v>
      </c>
      <c r="H542" t="s">
        <v>1261</v>
      </c>
      <c r="I542" t="s">
        <v>2204</v>
      </c>
      <c r="J542" t="s">
        <v>2200</v>
      </c>
    </row>
    <row r="543" spans="1:13" x14ac:dyDescent="0.3">
      <c r="A543" t="s">
        <v>814</v>
      </c>
      <c r="B543" t="s">
        <v>815</v>
      </c>
      <c r="C543">
        <v>7502785</v>
      </c>
      <c r="D543">
        <v>101378050</v>
      </c>
      <c r="E543" t="s">
        <v>816</v>
      </c>
      <c r="F543" t="s">
        <v>135</v>
      </c>
      <c r="G543" t="s">
        <v>817</v>
      </c>
      <c r="I543" t="s">
        <v>1089</v>
      </c>
      <c r="J543" t="s">
        <v>1090</v>
      </c>
    </row>
    <row r="544" spans="1:13" x14ac:dyDescent="0.3">
      <c r="A544" t="s">
        <v>818</v>
      </c>
      <c r="B544" t="s">
        <v>815</v>
      </c>
      <c r="C544">
        <v>7502785</v>
      </c>
      <c r="D544">
        <v>101378045</v>
      </c>
      <c r="E544" t="s">
        <v>819</v>
      </c>
      <c r="F544" t="s">
        <v>135</v>
      </c>
      <c r="G544" t="s">
        <v>817</v>
      </c>
      <c r="I544" t="s">
        <v>1091</v>
      </c>
      <c r="J544" t="s">
        <v>1092</v>
      </c>
    </row>
    <row r="545" spans="1:13" x14ac:dyDescent="0.3">
      <c r="A545" t="s">
        <v>820</v>
      </c>
      <c r="B545" t="s">
        <v>815</v>
      </c>
      <c r="C545">
        <v>7502785</v>
      </c>
      <c r="D545">
        <v>101378049</v>
      </c>
      <c r="E545" t="s">
        <v>821</v>
      </c>
      <c r="F545" t="s">
        <v>135</v>
      </c>
      <c r="G545" t="s">
        <v>817</v>
      </c>
      <c r="I545" t="s">
        <v>1093</v>
      </c>
      <c r="J545" t="s">
        <v>1094</v>
      </c>
    </row>
    <row r="546" spans="1:13" x14ac:dyDescent="0.3">
      <c r="A546" t="s">
        <v>822</v>
      </c>
      <c r="B546" t="s">
        <v>815</v>
      </c>
      <c r="C546">
        <v>7502785</v>
      </c>
      <c r="D546">
        <v>101378048</v>
      </c>
      <c r="E546" t="s">
        <v>823</v>
      </c>
      <c r="F546" t="s">
        <v>135</v>
      </c>
      <c r="G546" t="s">
        <v>817</v>
      </c>
      <c r="I546" t="s">
        <v>1095</v>
      </c>
      <c r="J546" t="s">
        <v>1096</v>
      </c>
    </row>
    <row r="547" spans="1:13" x14ac:dyDescent="0.3">
      <c r="A547" t="s">
        <v>824</v>
      </c>
      <c r="B547" t="s">
        <v>815</v>
      </c>
      <c r="C547">
        <v>7502785</v>
      </c>
      <c r="D547">
        <v>101378046</v>
      </c>
      <c r="E547" t="s">
        <v>825</v>
      </c>
      <c r="F547" t="s">
        <v>135</v>
      </c>
      <c r="G547" t="s">
        <v>817</v>
      </c>
      <c r="I547" t="s">
        <v>1097</v>
      </c>
      <c r="J547" t="s">
        <v>1098</v>
      </c>
    </row>
    <row r="548" spans="1:13" x14ac:dyDescent="0.3">
      <c r="A548" t="s">
        <v>826</v>
      </c>
      <c r="B548" t="s">
        <v>815</v>
      </c>
      <c r="C548">
        <v>7502785</v>
      </c>
      <c r="D548">
        <v>101378047</v>
      </c>
      <c r="E548" t="s">
        <v>827</v>
      </c>
      <c r="F548" t="s">
        <v>135</v>
      </c>
      <c r="G548" t="s">
        <v>817</v>
      </c>
      <c r="I548" t="s">
        <v>1099</v>
      </c>
      <c r="J548" t="s">
        <v>1100</v>
      </c>
    </row>
    <row r="549" spans="1:13" x14ac:dyDescent="0.3">
      <c r="A549" t="s">
        <v>913</v>
      </c>
      <c r="B549" t="s">
        <v>815</v>
      </c>
      <c r="C549">
        <v>7502785</v>
      </c>
      <c r="D549">
        <v>101378044</v>
      </c>
      <c r="E549" t="s">
        <v>914</v>
      </c>
      <c r="F549" t="s">
        <v>915</v>
      </c>
      <c r="G549" t="s">
        <v>817</v>
      </c>
      <c r="I549" t="s">
        <v>1133</v>
      </c>
      <c r="J549" t="s">
        <v>1159</v>
      </c>
    </row>
    <row r="550" spans="1:13" x14ac:dyDescent="0.3">
      <c r="A550" s="13" t="s">
        <v>108</v>
      </c>
      <c r="B550" s="13" t="s">
        <v>109</v>
      </c>
      <c r="C550" s="13">
        <v>7494139</v>
      </c>
      <c r="D550" s="13">
        <v>101342619</v>
      </c>
      <c r="J550" s="13"/>
      <c r="K550" s="13"/>
      <c r="L550" s="13"/>
      <c r="M550" s="13"/>
    </row>
    <row r="551" spans="1:13" x14ac:dyDescent="0.3">
      <c r="A551" t="s">
        <v>1068</v>
      </c>
      <c r="B551" t="s">
        <v>109</v>
      </c>
      <c r="C551">
        <v>7494139</v>
      </c>
      <c r="D551">
        <v>101403124</v>
      </c>
      <c r="H551" s="15" t="str">
        <f>IF(ISBLANK(A551),"",IFERROR(LEFT(A551,SEARCH(" ",A551)-1),""))</f>
        <v>Dale</v>
      </c>
      <c r="I551" s="15" t="str">
        <f>IF(ISBLANK(A551),"",IFERROR(RIGHT(A551,LEN(A551)-SEARCH(" ",A551)),""))</f>
        <v>Overdorf</v>
      </c>
    </row>
    <row r="552" spans="1:13" x14ac:dyDescent="0.3">
      <c r="A552" t="s">
        <v>2131</v>
      </c>
      <c r="B552" t="s">
        <v>2132</v>
      </c>
      <c r="C552">
        <v>110000553</v>
      </c>
      <c r="D552">
        <v>120171967</v>
      </c>
      <c r="E552" t="s">
        <v>2313</v>
      </c>
      <c r="G552" t="s">
        <v>2198</v>
      </c>
      <c r="H552" t="s">
        <v>2314</v>
      </c>
      <c r="I552" t="s">
        <v>2315</v>
      </c>
    </row>
    <row r="553" spans="1:13" x14ac:dyDescent="0.3">
      <c r="A553" t="s">
        <v>2316</v>
      </c>
      <c r="B553" t="s">
        <v>2132</v>
      </c>
      <c r="C553">
        <v>110000553</v>
      </c>
      <c r="D553">
        <v>101096102</v>
      </c>
      <c r="E553" t="s">
        <v>2317</v>
      </c>
      <c r="G553" t="s">
        <v>2198</v>
      </c>
      <c r="H553" t="s">
        <v>1091</v>
      </c>
      <c r="I553" t="s">
        <v>2318</v>
      </c>
    </row>
    <row r="554" spans="1:13" x14ac:dyDescent="0.3">
      <c r="A554" t="s">
        <v>2319</v>
      </c>
      <c r="B554" t="s">
        <v>2132</v>
      </c>
      <c r="C554">
        <v>110000553</v>
      </c>
      <c r="D554">
        <v>101117378</v>
      </c>
      <c r="E554" t="s">
        <v>2320</v>
      </c>
      <c r="G554" t="s">
        <v>2198</v>
      </c>
      <c r="H554" t="s">
        <v>1136</v>
      </c>
      <c r="I554" t="s">
        <v>1102</v>
      </c>
    </row>
    <row r="555" spans="1:13" x14ac:dyDescent="0.3">
      <c r="A555" t="s">
        <v>2133</v>
      </c>
      <c r="B555" t="s">
        <v>2132</v>
      </c>
      <c r="C555">
        <v>110000553</v>
      </c>
      <c r="D555">
        <v>120171968</v>
      </c>
      <c r="E555" t="s">
        <v>2321</v>
      </c>
      <c r="G555" t="s">
        <v>2198</v>
      </c>
      <c r="H555" t="s">
        <v>2259</v>
      </c>
      <c r="I555" t="s">
        <v>2322</v>
      </c>
    </row>
    <row r="556" spans="1:13" x14ac:dyDescent="0.3">
      <c r="A556" t="s">
        <v>2127</v>
      </c>
      <c r="B556" t="s">
        <v>2128</v>
      </c>
      <c r="C556">
        <v>120171921</v>
      </c>
      <c r="D556">
        <v>120171964</v>
      </c>
      <c r="E556" t="s">
        <v>2261</v>
      </c>
      <c r="G556" t="s">
        <v>2198</v>
      </c>
      <c r="H556" t="s">
        <v>1182</v>
      </c>
      <c r="I556" t="s">
        <v>1354</v>
      </c>
      <c r="J556" t="s">
        <v>2200</v>
      </c>
    </row>
    <row r="557" spans="1:13" x14ac:dyDescent="0.3">
      <c r="A557" t="s">
        <v>2129</v>
      </c>
      <c r="B557" t="s">
        <v>2128</v>
      </c>
      <c r="C557">
        <v>120171921</v>
      </c>
      <c r="D557">
        <v>120171965</v>
      </c>
      <c r="E557" t="s">
        <v>2262</v>
      </c>
      <c r="G557" t="s">
        <v>2198</v>
      </c>
      <c r="H557" t="s">
        <v>2263</v>
      </c>
      <c r="I557" t="s">
        <v>2264</v>
      </c>
      <c r="J557" t="s">
        <v>2200</v>
      </c>
    </row>
    <row r="558" spans="1:13" x14ac:dyDescent="0.3">
      <c r="A558" t="s">
        <v>2130</v>
      </c>
      <c r="B558" t="s">
        <v>2128</v>
      </c>
      <c r="C558">
        <v>120171921</v>
      </c>
      <c r="D558">
        <v>120171966</v>
      </c>
      <c r="E558" t="s">
        <v>2265</v>
      </c>
      <c r="G558" t="s">
        <v>2198</v>
      </c>
      <c r="H558" t="s">
        <v>2266</v>
      </c>
      <c r="I558" t="s">
        <v>2267</v>
      </c>
      <c r="J558" t="s">
        <v>2200</v>
      </c>
    </row>
    <row r="559" spans="1:13" x14ac:dyDescent="0.3">
      <c r="A559" t="s">
        <v>880</v>
      </c>
      <c r="B559" t="s">
        <v>881</v>
      </c>
      <c r="C559">
        <v>7500609</v>
      </c>
      <c r="D559">
        <v>101389327</v>
      </c>
      <c r="E559" t="s">
        <v>882</v>
      </c>
      <c r="F559" t="s">
        <v>135</v>
      </c>
      <c r="G559" t="s">
        <v>883</v>
      </c>
      <c r="I559" t="s">
        <v>1136</v>
      </c>
      <c r="J559" t="s">
        <v>1137</v>
      </c>
    </row>
    <row r="560" spans="1:13" x14ac:dyDescent="0.3">
      <c r="A560" t="s">
        <v>884</v>
      </c>
      <c r="B560" t="s">
        <v>881</v>
      </c>
      <c r="C560">
        <v>7500609</v>
      </c>
      <c r="D560">
        <v>101389328</v>
      </c>
      <c r="E560" t="s">
        <v>885</v>
      </c>
      <c r="F560" t="s">
        <v>135</v>
      </c>
      <c r="G560" t="s">
        <v>883</v>
      </c>
      <c r="I560" t="s">
        <v>1138</v>
      </c>
      <c r="J560" t="s">
        <v>1139</v>
      </c>
    </row>
    <row r="561" spans="1:13" x14ac:dyDescent="0.3">
      <c r="A561" t="s">
        <v>2124</v>
      </c>
      <c r="B561" t="s">
        <v>2220</v>
      </c>
      <c r="C561">
        <v>120171915</v>
      </c>
      <c r="D561">
        <v>120171961</v>
      </c>
      <c r="E561" t="s">
        <v>2221</v>
      </c>
      <c r="G561" t="s">
        <v>2198</v>
      </c>
      <c r="H561" t="s">
        <v>2222</v>
      </c>
      <c r="I561" t="s">
        <v>2223</v>
      </c>
      <c r="J561" t="s">
        <v>2200</v>
      </c>
    </row>
    <row r="562" spans="1:13" x14ac:dyDescent="0.3">
      <c r="A562" t="s">
        <v>2125</v>
      </c>
      <c r="B562" t="s">
        <v>2220</v>
      </c>
      <c r="C562">
        <v>120171915</v>
      </c>
      <c r="D562">
        <v>120171962</v>
      </c>
      <c r="E562" t="s">
        <v>2224</v>
      </c>
      <c r="G562" t="s">
        <v>2198</v>
      </c>
      <c r="H562" t="s">
        <v>2225</v>
      </c>
      <c r="I562" t="s">
        <v>2226</v>
      </c>
      <c r="J562" t="s">
        <v>2200</v>
      </c>
    </row>
    <row r="563" spans="1:13" x14ac:dyDescent="0.3">
      <c r="A563" t="s">
        <v>2126</v>
      </c>
      <c r="B563" t="s">
        <v>2220</v>
      </c>
      <c r="C563">
        <v>120171915</v>
      </c>
      <c r="D563">
        <v>120171963</v>
      </c>
      <c r="E563" t="s">
        <v>2227</v>
      </c>
      <c r="G563" t="s">
        <v>2198</v>
      </c>
      <c r="H563" t="s">
        <v>2228</v>
      </c>
      <c r="I563" t="s">
        <v>2229</v>
      </c>
      <c r="J563" t="s">
        <v>2200</v>
      </c>
    </row>
    <row r="564" spans="1:13" x14ac:dyDescent="0.3">
      <c r="A564" t="s">
        <v>2123</v>
      </c>
      <c r="B564" t="s">
        <v>2220</v>
      </c>
      <c r="C564">
        <v>120171915</v>
      </c>
      <c r="D564">
        <v>120171960</v>
      </c>
      <c r="E564" t="s">
        <v>2230</v>
      </c>
      <c r="G564" t="s">
        <v>2198</v>
      </c>
      <c r="H564" t="s">
        <v>1089</v>
      </c>
      <c r="I564" t="s">
        <v>2231</v>
      </c>
      <c r="J564" t="s">
        <v>2200</v>
      </c>
    </row>
    <row r="565" spans="1:13" x14ac:dyDescent="0.3">
      <c r="A565" s="13" t="s">
        <v>119</v>
      </c>
      <c r="B565" s="13" t="s">
        <v>120</v>
      </c>
      <c r="C565" s="13">
        <v>7496125</v>
      </c>
      <c r="D565" s="13">
        <v>101352956</v>
      </c>
      <c r="J565" s="13"/>
      <c r="K565" s="13"/>
      <c r="L565" s="13"/>
      <c r="M565" s="13"/>
    </row>
    <row r="566" spans="1:13" x14ac:dyDescent="0.3">
      <c r="A566" t="s">
        <v>2122</v>
      </c>
      <c r="B566" t="s">
        <v>120</v>
      </c>
      <c r="C566">
        <v>7496125</v>
      </c>
      <c r="D566">
        <v>120171959</v>
      </c>
      <c r="E566" t="s">
        <v>2389</v>
      </c>
      <c r="G566" t="s">
        <v>2198</v>
      </c>
      <c r="H566" t="s">
        <v>1356</v>
      </c>
      <c r="I566" t="s">
        <v>2390</v>
      </c>
    </row>
    <row r="567" spans="1:13" x14ac:dyDescent="0.3">
      <c r="A567" t="s">
        <v>119</v>
      </c>
      <c r="B567" t="s">
        <v>120</v>
      </c>
      <c r="C567">
        <v>7496125</v>
      </c>
      <c r="D567">
        <v>101049724</v>
      </c>
      <c r="E567" t="s">
        <v>2391</v>
      </c>
      <c r="F567" t="s">
        <v>2392</v>
      </c>
      <c r="G567" t="s">
        <v>2198</v>
      </c>
      <c r="H567" t="s">
        <v>1168</v>
      </c>
      <c r="I567" t="s">
        <v>2393</v>
      </c>
      <c r="J567" t="s">
        <v>2394</v>
      </c>
    </row>
    <row r="568" spans="1:13" x14ac:dyDescent="0.3">
      <c r="A568" t="s">
        <v>2121</v>
      </c>
      <c r="B568" t="s">
        <v>2404</v>
      </c>
      <c r="C568">
        <v>80135768</v>
      </c>
      <c r="D568">
        <v>120171958</v>
      </c>
      <c r="E568" t="s">
        <v>2405</v>
      </c>
      <c r="G568" t="s">
        <v>2198</v>
      </c>
      <c r="H568" t="s">
        <v>2406</v>
      </c>
      <c r="I568" t="s">
        <v>2407</v>
      </c>
    </row>
    <row r="569" spans="1:13" x14ac:dyDescent="0.3">
      <c r="A569" t="s">
        <v>2118</v>
      </c>
      <c r="B569" t="s">
        <v>2404</v>
      </c>
      <c r="C569">
        <v>80135768</v>
      </c>
      <c r="D569">
        <v>120171955</v>
      </c>
      <c r="E569" t="s">
        <v>2408</v>
      </c>
      <c r="G569" t="s">
        <v>2198</v>
      </c>
      <c r="H569" t="s">
        <v>2409</v>
      </c>
      <c r="I569" t="s">
        <v>2410</v>
      </c>
    </row>
    <row r="570" spans="1:13" x14ac:dyDescent="0.3">
      <c r="A570" t="s">
        <v>2120</v>
      </c>
      <c r="B570" t="s">
        <v>2404</v>
      </c>
      <c r="C570">
        <v>80135768</v>
      </c>
      <c r="D570">
        <v>120171957</v>
      </c>
      <c r="E570" t="s">
        <v>2411</v>
      </c>
      <c r="G570" t="s">
        <v>2198</v>
      </c>
      <c r="H570" t="s">
        <v>2412</v>
      </c>
      <c r="I570" t="s">
        <v>2413</v>
      </c>
    </row>
    <row r="571" spans="1:13" x14ac:dyDescent="0.3">
      <c r="A571" t="s">
        <v>2119</v>
      </c>
      <c r="B571" t="s">
        <v>2404</v>
      </c>
      <c r="C571">
        <v>80135768</v>
      </c>
      <c r="D571">
        <v>120171956</v>
      </c>
      <c r="E571" t="s">
        <v>2414</v>
      </c>
      <c r="G571" t="s">
        <v>2198</v>
      </c>
      <c r="H571" t="s">
        <v>2415</v>
      </c>
      <c r="I571" t="s">
        <v>18</v>
      </c>
    </row>
    <row r="572" spans="1:13" x14ac:dyDescent="0.3">
      <c r="A572" t="s">
        <v>1997</v>
      </c>
      <c r="B572" t="s">
        <v>1998</v>
      </c>
      <c r="C572">
        <v>524787</v>
      </c>
      <c r="D572">
        <v>120171893</v>
      </c>
      <c r="H572" s="15" t="str">
        <f>IF(ISBLANK(A572),"",IFERROR(LEFT(A572,SEARCH(" ",A572)-1),""))</f>
        <v>Robert</v>
      </c>
      <c r="I572" s="15" t="str">
        <f>IF(ISBLANK(A572),"",IFERROR(RIGHT(A572,LEN(A572)-SEARCH(" ",A572)),""))</f>
        <v>Morrison</v>
      </c>
    </row>
    <row r="573" spans="1:13" x14ac:dyDescent="0.3">
      <c r="A573" s="13" t="s">
        <v>82</v>
      </c>
      <c r="B573" s="13" t="s">
        <v>83</v>
      </c>
      <c r="C573" s="13">
        <v>7477481</v>
      </c>
      <c r="D573" s="13">
        <v>101252412</v>
      </c>
      <c r="J573" s="13"/>
      <c r="K573" s="13"/>
      <c r="L573" s="13"/>
      <c r="M573" s="13"/>
    </row>
    <row r="574" spans="1:13" x14ac:dyDescent="0.3">
      <c r="A574" s="13" t="s">
        <v>84</v>
      </c>
      <c r="B574" s="13" t="s">
        <v>83</v>
      </c>
      <c r="C574" s="13">
        <v>7477481</v>
      </c>
      <c r="D574" s="13">
        <v>101334291</v>
      </c>
      <c r="J574" s="13"/>
      <c r="K574" s="13"/>
      <c r="L574" s="13"/>
      <c r="M574" s="13"/>
    </row>
    <row r="575" spans="1:13" x14ac:dyDescent="0.3">
      <c r="A575" s="13" t="s">
        <v>90</v>
      </c>
      <c r="B575" s="13" t="s">
        <v>91</v>
      </c>
      <c r="C575" s="13">
        <v>7492511</v>
      </c>
      <c r="D575" s="13">
        <v>101334626</v>
      </c>
      <c r="J575" s="13"/>
      <c r="K575" s="13"/>
      <c r="L575" s="13"/>
      <c r="M575" s="13"/>
    </row>
    <row r="576" spans="1:13" x14ac:dyDescent="0.3">
      <c r="A576" s="13" t="s">
        <v>31</v>
      </c>
      <c r="B576" s="13" t="s">
        <v>32</v>
      </c>
      <c r="C576" s="13">
        <v>7486286</v>
      </c>
      <c r="D576" s="13">
        <v>101294365</v>
      </c>
      <c r="J576" s="13"/>
      <c r="K576" s="13"/>
      <c r="L576" s="13"/>
      <c r="M576" s="13"/>
    </row>
    <row r="577" spans="1:13" x14ac:dyDescent="0.3">
      <c r="A577" s="13" t="s">
        <v>42</v>
      </c>
      <c r="B577" s="13" t="s">
        <v>32</v>
      </c>
      <c r="C577" s="13">
        <v>7486286</v>
      </c>
      <c r="D577" s="13">
        <v>101298907</v>
      </c>
      <c r="J577" s="13"/>
      <c r="K577" s="13"/>
      <c r="L577" s="13"/>
      <c r="M577" s="13"/>
    </row>
    <row r="578" spans="1:13" x14ac:dyDescent="0.3">
      <c r="A578" s="13" t="s">
        <v>43</v>
      </c>
      <c r="B578" s="13" t="s">
        <v>32</v>
      </c>
      <c r="C578" s="13">
        <v>7486286</v>
      </c>
      <c r="D578" s="13">
        <v>101298902</v>
      </c>
      <c r="J578" s="13"/>
      <c r="K578" s="13"/>
      <c r="L578" s="13"/>
      <c r="M578" s="13"/>
    </row>
    <row r="579" spans="1:13" x14ac:dyDescent="0.3">
      <c r="A579" s="13" t="s">
        <v>44</v>
      </c>
      <c r="B579" s="13" t="s">
        <v>32</v>
      </c>
      <c r="C579" s="13">
        <v>7486286</v>
      </c>
      <c r="D579" s="13">
        <v>101298909</v>
      </c>
      <c r="J579" s="13"/>
      <c r="K579" s="13"/>
      <c r="L579" s="13"/>
      <c r="M579" s="13"/>
    </row>
    <row r="580" spans="1:13" x14ac:dyDescent="0.3">
      <c r="A580" s="13" t="s">
        <v>45</v>
      </c>
      <c r="B580" s="13" t="s">
        <v>32</v>
      </c>
      <c r="C580" s="13">
        <v>7486286</v>
      </c>
      <c r="D580" s="13">
        <v>101298886</v>
      </c>
      <c r="J580" s="13"/>
      <c r="K580" s="13"/>
      <c r="L580" s="13"/>
      <c r="M580" s="13"/>
    </row>
    <row r="581" spans="1:13" x14ac:dyDescent="0.3">
      <c r="A581" s="13" t="s">
        <v>46</v>
      </c>
      <c r="B581" s="13" t="s">
        <v>32</v>
      </c>
      <c r="C581" s="13">
        <v>7486286</v>
      </c>
      <c r="D581" s="13">
        <v>101298908</v>
      </c>
      <c r="J581" s="13"/>
      <c r="K581" s="13"/>
      <c r="L581" s="13"/>
      <c r="M581" s="13"/>
    </row>
    <row r="582" spans="1:13" x14ac:dyDescent="0.3">
      <c r="A582" s="13" t="s">
        <v>47</v>
      </c>
      <c r="B582" s="13" t="s">
        <v>32</v>
      </c>
      <c r="C582" s="13">
        <v>7486286</v>
      </c>
      <c r="D582" s="13">
        <v>101298910</v>
      </c>
      <c r="J582" s="13"/>
      <c r="K582" s="13"/>
      <c r="L582" s="13"/>
      <c r="M582" s="13"/>
    </row>
    <row r="583" spans="1:13" x14ac:dyDescent="0.3">
      <c r="A583" s="13" t="s">
        <v>114</v>
      </c>
      <c r="B583" s="13" t="s">
        <v>32</v>
      </c>
      <c r="C583" s="13">
        <v>7486286</v>
      </c>
      <c r="D583" s="13">
        <v>101294362</v>
      </c>
      <c r="J583" s="13"/>
      <c r="K583" s="13"/>
      <c r="L583" s="13"/>
      <c r="M583" s="13"/>
    </row>
    <row r="584" spans="1:13" x14ac:dyDescent="0.3">
      <c r="A584" t="s">
        <v>254</v>
      </c>
      <c r="B584" t="s">
        <v>255</v>
      </c>
      <c r="C584">
        <v>7483035</v>
      </c>
      <c r="D584">
        <v>101276638</v>
      </c>
      <c r="E584" t="s">
        <v>256</v>
      </c>
      <c r="F584" t="s">
        <v>135</v>
      </c>
      <c r="G584" t="s">
        <v>257</v>
      </c>
      <c r="J584" s="13"/>
      <c r="K584" s="13"/>
      <c r="L584" s="13"/>
      <c r="M584" s="13"/>
    </row>
    <row r="585" spans="1:13" x14ac:dyDescent="0.3">
      <c r="A585" t="s">
        <v>258</v>
      </c>
      <c r="B585" t="s">
        <v>255</v>
      </c>
      <c r="C585">
        <v>7483035</v>
      </c>
      <c r="D585">
        <v>101362233</v>
      </c>
      <c r="E585" t="s">
        <v>259</v>
      </c>
      <c r="F585" t="s">
        <v>135</v>
      </c>
      <c r="G585" t="s">
        <v>257</v>
      </c>
      <c r="J585" s="13"/>
      <c r="K585" s="13"/>
      <c r="L585" s="13"/>
      <c r="M585" s="13"/>
    </row>
    <row r="586" spans="1:13" x14ac:dyDescent="0.3">
      <c r="A586" t="s">
        <v>260</v>
      </c>
      <c r="B586" t="s">
        <v>255</v>
      </c>
      <c r="C586">
        <v>7483035</v>
      </c>
      <c r="D586">
        <v>101362231</v>
      </c>
      <c r="E586" t="s">
        <v>261</v>
      </c>
      <c r="F586" t="s">
        <v>135</v>
      </c>
      <c r="G586" t="s">
        <v>257</v>
      </c>
      <c r="J586" s="13"/>
      <c r="K586" s="13"/>
      <c r="L586" s="13"/>
      <c r="M586" s="13"/>
    </row>
    <row r="587" spans="1:13" x14ac:dyDescent="0.3">
      <c r="A587" t="s">
        <v>262</v>
      </c>
      <c r="B587" t="s">
        <v>255</v>
      </c>
      <c r="C587">
        <v>7483035</v>
      </c>
      <c r="D587">
        <v>101362232</v>
      </c>
      <c r="E587" t="s">
        <v>263</v>
      </c>
      <c r="F587" t="s">
        <v>135</v>
      </c>
      <c r="G587" t="s">
        <v>257</v>
      </c>
      <c r="J587" s="13"/>
      <c r="K587" s="13"/>
      <c r="L587" s="13"/>
      <c r="M587" s="13"/>
    </row>
    <row r="588" spans="1:13" x14ac:dyDescent="0.3">
      <c r="A588" t="s">
        <v>264</v>
      </c>
      <c r="B588" t="s">
        <v>255</v>
      </c>
      <c r="C588">
        <v>7483035</v>
      </c>
      <c r="D588">
        <v>101362230</v>
      </c>
      <c r="E588" t="s">
        <v>265</v>
      </c>
      <c r="F588" t="s">
        <v>135</v>
      </c>
      <c r="G588" t="s">
        <v>257</v>
      </c>
      <c r="J588" s="13"/>
      <c r="K588" s="13"/>
      <c r="L588" s="13"/>
      <c r="M588" s="13"/>
    </row>
    <row r="589" spans="1:13" x14ac:dyDescent="0.3">
      <c r="A589" t="s">
        <v>2933</v>
      </c>
      <c r="B589" t="s">
        <v>2934</v>
      </c>
      <c r="C589">
        <v>80107937</v>
      </c>
      <c r="D589">
        <v>120105520</v>
      </c>
      <c r="E589" t="s">
        <v>2935</v>
      </c>
      <c r="F589" t="s">
        <v>2936</v>
      </c>
      <c r="H589" t="s">
        <v>2515</v>
      </c>
      <c r="I589" t="s">
        <v>2938</v>
      </c>
      <c r="J589" t="s">
        <v>2200</v>
      </c>
      <c r="L589" t="s">
        <v>2432</v>
      </c>
      <c r="M589" t="s">
        <v>2939</v>
      </c>
    </row>
    <row r="590" spans="1:13" x14ac:dyDescent="0.3">
      <c r="A590" t="s">
        <v>2937</v>
      </c>
      <c r="B590" t="s">
        <v>2934</v>
      </c>
      <c r="C590">
        <v>80107937</v>
      </c>
      <c r="D590">
        <v>120105521</v>
      </c>
      <c r="H590" t="s">
        <v>2940</v>
      </c>
      <c r="I590" t="s">
        <v>2941</v>
      </c>
      <c r="J590" t="s">
        <v>2343</v>
      </c>
      <c r="L590" t="s">
        <v>2942</v>
      </c>
      <c r="M590" t="s">
        <v>2943</v>
      </c>
    </row>
    <row r="591" spans="1:13" x14ac:dyDescent="0.3">
      <c r="A591" t="s">
        <v>2079</v>
      </c>
      <c r="B591" t="s">
        <v>2009</v>
      </c>
      <c r="C591">
        <v>120091794</v>
      </c>
      <c r="D591">
        <v>120091797</v>
      </c>
      <c r="E591" t="s">
        <v>2080</v>
      </c>
      <c r="H591" s="15" t="str">
        <f>IF(ISBLANK(A591),"",IFERROR(LEFT(A591,SEARCH(" ",A591)-1),""))</f>
        <v>John</v>
      </c>
      <c r="I591" s="15" t="str">
        <f>IF(ISBLANK(A591),"",IFERROR(RIGHT(A591,LEN(A591)-SEARCH(" ",A591)),""))</f>
        <v>Leatherman</v>
      </c>
    </row>
    <row r="592" spans="1:13" x14ac:dyDescent="0.3">
      <c r="A592" t="s">
        <v>2081</v>
      </c>
      <c r="B592" t="s">
        <v>2009</v>
      </c>
      <c r="C592">
        <v>120091794</v>
      </c>
      <c r="D592">
        <v>120091796</v>
      </c>
      <c r="E592" t="s">
        <v>2082</v>
      </c>
      <c r="H592" s="15" t="str">
        <f>IF(ISBLANK(A592),"",IFERROR(LEFT(A592,SEARCH(" ",A592)-1),""))</f>
        <v>William</v>
      </c>
      <c r="I592" s="15" t="str">
        <f>IF(ISBLANK(A592),"",IFERROR(RIGHT(A592,LEN(A592)-SEARCH(" ",A592)),""))</f>
        <v>Logan</v>
      </c>
    </row>
    <row r="593" spans="1:13" x14ac:dyDescent="0.3">
      <c r="A593" t="s">
        <v>2008</v>
      </c>
      <c r="B593" t="s">
        <v>2009</v>
      </c>
      <c r="C593">
        <v>120091794</v>
      </c>
      <c r="D593">
        <v>120171271</v>
      </c>
      <c r="E593" t="s">
        <v>2083</v>
      </c>
      <c r="H593" s="15" t="str">
        <f>IF(ISBLANK(A593),"",IFERROR(LEFT(A593,SEARCH(" ",A593)-1),""))</f>
        <v>Barry</v>
      </c>
      <c r="I593" s="15" t="str">
        <f>IF(ISBLANK(A593),"",IFERROR(RIGHT(A593,LEN(A593)-SEARCH(" ",A593)),""))</f>
        <v>McEntire</v>
      </c>
    </row>
    <row r="594" spans="1:13" x14ac:dyDescent="0.3">
      <c r="A594" t="s">
        <v>2084</v>
      </c>
      <c r="B594" t="s">
        <v>2009</v>
      </c>
      <c r="C594">
        <v>120091794</v>
      </c>
      <c r="D594">
        <v>120091795</v>
      </c>
      <c r="E594" t="s">
        <v>2085</v>
      </c>
      <c r="H594" s="15" t="str">
        <f>IF(ISBLANK(A594),"",IFERROR(LEFT(A594,SEARCH(" ",A594)-1),""))</f>
        <v>Jared</v>
      </c>
      <c r="I594" s="15" t="str">
        <f>IF(ISBLANK(A594),"",IFERROR(RIGHT(A594,LEN(A594)-SEARCH(" ",A594)),""))</f>
        <v>Stacey</v>
      </c>
    </row>
    <row r="595" spans="1:13" x14ac:dyDescent="0.3">
      <c r="A595" t="s">
        <v>2115</v>
      </c>
      <c r="B595" t="s">
        <v>2116</v>
      </c>
      <c r="C595">
        <v>528490</v>
      </c>
      <c r="D595">
        <v>120171952</v>
      </c>
      <c r="E595" t="s">
        <v>2447</v>
      </c>
      <c r="G595" t="s">
        <v>2386</v>
      </c>
      <c r="H595" t="s">
        <v>2448</v>
      </c>
      <c r="I595" t="s">
        <v>2449</v>
      </c>
    </row>
    <row r="596" spans="1:13" x14ac:dyDescent="0.3">
      <c r="A596" t="s">
        <v>2114</v>
      </c>
      <c r="B596" t="s">
        <v>2116</v>
      </c>
      <c r="C596">
        <v>528490</v>
      </c>
      <c r="D596">
        <v>120171951</v>
      </c>
      <c r="E596" t="s">
        <v>2450</v>
      </c>
      <c r="G596" t="s">
        <v>2198</v>
      </c>
      <c r="H596" t="s">
        <v>1091</v>
      </c>
      <c r="I596" t="s">
        <v>2451</v>
      </c>
    </row>
    <row r="597" spans="1:13" x14ac:dyDescent="0.3">
      <c r="A597" t="s">
        <v>2452</v>
      </c>
      <c r="B597" t="s">
        <v>2116</v>
      </c>
      <c r="C597">
        <v>528490</v>
      </c>
      <c r="D597">
        <v>100740897</v>
      </c>
      <c r="E597" t="s">
        <v>2453</v>
      </c>
      <c r="G597" t="s">
        <v>2198</v>
      </c>
      <c r="H597" t="s">
        <v>2425</v>
      </c>
      <c r="I597" t="s">
        <v>2454</v>
      </c>
      <c r="K597" t="s">
        <v>2455</v>
      </c>
      <c r="L597" t="s">
        <v>2456</v>
      </c>
    </row>
    <row r="598" spans="1:13" x14ac:dyDescent="0.3">
      <c r="A598" t="s">
        <v>2117</v>
      </c>
      <c r="B598" t="s">
        <v>2116</v>
      </c>
      <c r="C598">
        <v>528490</v>
      </c>
      <c r="D598">
        <v>120171954</v>
      </c>
      <c r="E598" t="s">
        <v>2457</v>
      </c>
      <c r="G598" t="s">
        <v>2198</v>
      </c>
      <c r="H598" t="s">
        <v>1129</v>
      </c>
      <c r="I598" t="s">
        <v>2458</v>
      </c>
    </row>
    <row r="599" spans="1:13" x14ac:dyDescent="0.3">
      <c r="A599" t="s">
        <v>2459</v>
      </c>
      <c r="B599" t="s">
        <v>2116</v>
      </c>
      <c r="C599">
        <v>528490</v>
      </c>
      <c r="D599">
        <v>120171953</v>
      </c>
      <c r="E599" t="s">
        <v>2460</v>
      </c>
      <c r="G599" t="s">
        <v>2198</v>
      </c>
      <c r="H599" t="s">
        <v>2461</v>
      </c>
      <c r="I599" t="s">
        <v>2462</v>
      </c>
    </row>
    <row r="600" spans="1:13" x14ac:dyDescent="0.3">
      <c r="A600" s="13" t="s">
        <v>88</v>
      </c>
      <c r="B600" s="13" t="s">
        <v>89</v>
      </c>
      <c r="C600" s="13">
        <v>7483886</v>
      </c>
      <c r="D600" s="13">
        <v>101281230</v>
      </c>
      <c r="J600" s="13"/>
      <c r="K600" s="13"/>
      <c r="L600" s="13"/>
      <c r="M600" s="13"/>
    </row>
    <row r="601" spans="1:13" x14ac:dyDescent="0.3">
      <c r="A601" t="s">
        <v>2113</v>
      </c>
      <c r="B601" t="s">
        <v>2288</v>
      </c>
      <c r="C601">
        <v>529816</v>
      </c>
      <c r="D601">
        <v>120171950</v>
      </c>
      <c r="E601" t="s">
        <v>2289</v>
      </c>
      <c r="G601" t="s">
        <v>2198</v>
      </c>
      <c r="H601" t="s">
        <v>1171</v>
      </c>
      <c r="I601" t="s">
        <v>2290</v>
      </c>
      <c r="J601" t="s">
        <v>2200</v>
      </c>
    </row>
    <row r="602" spans="1:13" x14ac:dyDescent="0.3">
      <c r="A602" t="s">
        <v>2291</v>
      </c>
      <c r="B602" t="s">
        <v>2288</v>
      </c>
      <c r="C602">
        <v>529816</v>
      </c>
      <c r="D602">
        <v>100742957</v>
      </c>
      <c r="E602" t="s">
        <v>2292</v>
      </c>
      <c r="G602" t="s">
        <v>2198</v>
      </c>
      <c r="H602" t="s">
        <v>2293</v>
      </c>
      <c r="I602" t="s">
        <v>2294</v>
      </c>
      <c r="K602" t="s">
        <v>2295</v>
      </c>
      <c r="L602" t="s">
        <v>2296</v>
      </c>
    </row>
    <row r="603" spans="1:13" x14ac:dyDescent="0.3">
      <c r="A603" t="s">
        <v>2111</v>
      </c>
      <c r="B603" t="s">
        <v>2112</v>
      </c>
      <c r="C603">
        <v>120171920</v>
      </c>
      <c r="D603">
        <v>120171899</v>
      </c>
      <c r="E603" t="s">
        <v>2258</v>
      </c>
      <c r="G603" t="s">
        <v>2198</v>
      </c>
      <c r="H603" t="s">
        <v>2259</v>
      </c>
      <c r="I603" t="s">
        <v>2260</v>
      </c>
      <c r="J603" t="s">
        <v>2200</v>
      </c>
    </row>
    <row r="604" spans="1:13" x14ac:dyDescent="0.3">
      <c r="A604" t="s">
        <v>344</v>
      </c>
      <c r="B604" t="s">
        <v>345</v>
      </c>
      <c r="C604">
        <v>7500610</v>
      </c>
      <c r="D604">
        <v>101369222</v>
      </c>
      <c r="E604" t="s">
        <v>346</v>
      </c>
      <c r="F604" t="s">
        <v>135</v>
      </c>
      <c r="G604" t="s">
        <v>347</v>
      </c>
      <c r="J604" s="13"/>
      <c r="K604" s="13"/>
      <c r="L604" s="13"/>
      <c r="M604" s="13"/>
    </row>
    <row r="605" spans="1:13" x14ac:dyDescent="0.3">
      <c r="A605" t="s">
        <v>348</v>
      </c>
      <c r="B605" t="s">
        <v>345</v>
      </c>
      <c r="C605">
        <v>7500610</v>
      </c>
      <c r="D605">
        <v>101369223</v>
      </c>
      <c r="E605" t="s">
        <v>349</v>
      </c>
      <c r="F605" t="s">
        <v>135</v>
      </c>
      <c r="G605" t="s">
        <v>347</v>
      </c>
      <c r="J605" s="13"/>
      <c r="K605" s="13"/>
      <c r="L605" s="13"/>
      <c r="M605" s="13"/>
    </row>
    <row r="606" spans="1:13" x14ac:dyDescent="0.3">
      <c r="A606" t="s">
        <v>350</v>
      </c>
      <c r="B606" t="s">
        <v>345</v>
      </c>
      <c r="C606">
        <v>7500610</v>
      </c>
      <c r="D606">
        <v>101369224</v>
      </c>
      <c r="E606" t="s">
        <v>351</v>
      </c>
      <c r="F606" t="s">
        <v>135</v>
      </c>
      <c r="G606" t="s">
        <v>347</v>
      </c>
      <c r="J606" s="13"/>
      <c r="K606" s="13"/>
      <c r="L606" s="13"/>
      <c r="M606" s="13"/>
    </row>
    <row r="607" spans="1:13" x14ac:dyDescent="0.3">
      <c r="A607" t="s">
        <v>802</v>
      </c>
      <c r="B607" t="s">
        <v>345</v>
      </c>
      <c r="C607">
        <v>7502568</v>
      </c>
      <c r="D607">
        <v>101381828</v>
      </c>
      <c r="E607" t="s">
        <v>803</v>
      </c>
      <c r="F607" t="s">
        <v>135</v>
      </c>
      <c r="G607" t="s">
        <v>347</v>
      </c>
      <c r="I607" t="s">
        <v>1082</v>
      </c>
    </row>
    <row r="608" spans="1:13" x14ac:dyDescent="0.3">
      <c r="A608" t="s">
        <v>804</v>
      </c>
      <c r="B608" t="s">
        <v>345</v>
      </c>
      <c r="C608">
        <v>7502568</v>
      </c>
      <c r="D608">
        <v>101381831</v>
      </c>
      <c r="E608" t="s">
        <v>805</v>
      </c>
      <c r="F608" t="s">
        <v>135</v>
      </c>
      <c r="G608" t="s">
        <v>347</v>
      </c>
      <c r="I608" t="s">
        <v>1083</v>
      </c>
    </row>
    <row r="609" spans="1:10" x14ac:dyDescent="0.3">
      <c r="A609" t="s">
        <v>806</v>
      </c>
      <c r="B609" t="s">
        <v>345</v>
      </c>
      <c r="C609">
        <v>7500610</v>
      </c>
      <c r="D609">
        <v>101381844</v>
      </c>
      <c r="E609" t="s">
        <v>807</v>
      </c>
      <c r="F609" t="s">
        <v>135</v>
      </c>
      <c r="G609" t="s">
        <v>347</v>
      </c>
      <c r="I609" t="s">
        <v>1084</v>
      </c>
    </row>
    <row r="610" spans="1:10" x14ac:dyDescent="0.3">
      <c r="A610" t="s">
        <v>808</v>
      </c>
      <c r="B610" t="s">
        <v>345</v>
      </c>
      <c r="C610">
        <v>7500610</v>
      </c>
      <c r="D610">
        <v>101381821</v>
      </c>
      <c r="E610" t="s">
        <v>809</v>
      </c>
      <c r="F610" t="s">
        <v>135</v>
      </c>
      <c r="G610" t="s">
        <v>347</v>
      </c>
      <c r="I610" t="s">
        <v>1085</v>
      </c>
    </row>
    <row r="611" spans="1:10" x14ac:dyDescent="0.3">
      <c r="A611" t="s">
        <v>810</v>
      </c>
      <c r="B611" t="s">
        <v>345</v>
      </c>
      <c r="C611">
        <v>7500610</v>
      </c>
      <c r="D611">
        <v>101381830</v>
      </c>
      <c r="E611" t="s">
        <v>811</v>
      </c>
      <c r="F611" t="s">
        <v>135</v>
      </c>
      <c r="G611" t="s">
        <v>347</v>
      </c>
      <c r="I611" t="s">
        <v>1086</v>
      </c>
    </row>
    <row r="612" spans="1:10" x14ac:dyDescent="0.3">
      <c r="A612" t="s">
        <v>812</v>
      </c>
      <c r="B612" t="s">
        <v>345</v>
      </c>
      <c r="C612">
        <v>7500610</v>
      </c>
      <c r="D612">
        <v>101381829</v>
      </c>
      <c r="E612" t="s">
        <v>813</v>
      </c>
      <c r="F612" t="s">
        <v>135</v>
      </c>
      <c r="G612" t="s">
        <v>347</v>
      </c>
      <c r="I612" t="s">
        <v>1087</v>
      </c>
      <c r="J612" t="s">
        <v>1088</v>
      </c>
    </row>
    <row r="613" spans="1:10" x14ac:dyDescent="0.3">
      <c r="A613" t="s">
        <v>2036</v>
      </c>
      <c r="B613" t="s">
        <v>2037</v>
      </c>
      <c r="C613">
        <v>7500610</v>
      </c>
      <c r="D613">
        <v>120081847</v>
      </c>
      <c r="E613" t="s">
        <v>2038</v>
      </c>
      <c r="H613" s="15" t="str">
        <f>IF(ISBLANK(#REF!),"",IFERROR(LEFT(#REF!,SEARCH(" ",#REF!)-1),""))</f>
        <v/>
      </c>
      <c r="I613" s="15" t="str">
        <f>IF(ISBLANK(#REF!),"",IFERROR(RIGHT(#REF!,LEN(#REF!)-SEARCH(" ",#REF!)),""))</f>
        <v/>
      </c>
    </row>
    <row r="614" spans="1:10" x14ac:dyDescent="0.3">
      <c r="A614" t="s">
        <v>2039</v>
      </c>
      <c r="B614" t="s">
        <v>2037</v>
      </c>
      <c r="C614">
        <v>7500610</v>
      </c>
      <c r="D614">
        <v>120081846</v>
      </c>
      <c r="E614" t="s">
        <v>2040</v>
      </c>
      <c r="H614" s="15" t="str">
        <f>IF(ISBLANK(#REF!),"",IFERROR(LEFT(#REF!,SEARCH(" ",#REF!)-1),""))</f>
        <v/>
      </c>
      <c r="I614" s="15" t="str">
        <f>IF(ISBLANK(#REF!),"",IFERROR(RIGHT(#REF!,LEN(#REF!)-SEARCH(" ",#REF!)),""))</f>
        <v/>
      </c>
    </row>
    <row r="615" spans="1:10" x14ac:dyDescent="0.3">
      <c r="A615" t="s">
        <v>2041</v>
      </c>
      <c r="B615" t="s">
        <v>2037</v>
      </c>
      <c r="C615">
        <v>7500610</v>
      </c>
      <c r="D615">
        <v>101091481</v>
      </c>
      <c r="E615" t="s">
        <v>2042</v>
      </c>
    </row>
    <row r="616" spans="1:10" x14ac:dyDescent="0.3">
      <c r="A616" t="s">
        <v>2043</v>
      </c>
      <c r="B616" t="s">
        <v>2037</v>
      </c>
      <c r="C616">
        <v>7500610</v>
      </c>
      <c r="D616">
        <v>101092099</v>
      </c>
      <c r="E616" t="s">
        <v>2044</v>
      </c>
      <c r="F616" t="s">
        <v>2045</v>
      </c>
    </row>
    <row r="617" spans="1:10" x14ac:dyDescent="0.3">
      <c r="A617" t="s">
        <v>2046</v>
      </c>
      <c r="B617" t="s">
        <v>2037</v>
      </c>
      <c r="C617">
        <v>7500610</v>
      </c>
      <c r="D617">
        <v>120081849</v>
      </c>
      <c r="E617" t="s">
        <v>2047</v>
      </c>
    </row>
    <row r="618" spans="1:10" x14ac:dyDescent="0.3">
      <c r="A618" t="s">
        <v>2048</v>
      </c>
      <c r="B618" t="s">
        <v>2037</v>
      </c>
      <c r="C618">
        <v>7500610</v>
      </c>
      <c r="D618">
        <v>120081960</v>
      </c>
      <c r="E618" t="s">
        <v>2049</v>
      </c>
    </row>
    <row r="619" spans="1:10" x14ac:dyDescent="0.3">
      <c r="A619" t="s">
        <v>2050</v>
      </c>
      <c r="B619" t="s">
        <v>2037</v>
      </c>
      <c r="C619">
        <v>7500610</v>
      </c>
      <c r="D619">
        <v>120081845</v>
      </c>
      <c r="E619" t="s">
        <v>2051</v>
      </c>
    </row>
    <row r="620" spans="1:10" x14ac:dyDescent="0.3">
      <c r="A620" t="s">
        <v>2052</v>
      </c>
      <c r="B620" t="s">
        <v>2037</v>
      </c>
      <c r="C620">
        <v>7500610</v>
      </c>
      <c r="D620">
        <v>120081961</v>
      </c>
      <c r="E620" t="s">
        <v>2053</v>
      </c>
    </row>
    <row r="621" spans="1:10" x14ac:dyDescent="0.3">
      <c r="A621" t="s">
        <v>2054</v>
      </c>
      <c r="B621" t="s">
        <v>2037</v>
      </c>
      <c r="C621">
        <v>7500610</v>
      </c>
      <c r="D621">
        <v>120081848</v>
      </c>
      <c r="E621" t="s">
        <v>2055</v>
      </c>
    </row>
    <row r="622" spans="1:10" x14ac:dyDescent="0.3">
      <c r="A622" t="s">
        <v>2056</v>
      </c>
      <c r="B622" t="s">
        <v>2037</v>
      </c>
      <c r="C622">
        <v>7500610</v>
      </c>
      <c r="D622">
        <v>120171340</v>
      </c>
      <c r="E622" t="s">
        <v>2057</v>
      </c>
    </row>
    <row r="623" spans="1:10" x14ac:dyDescent="0.3">
      <c r="A623" t="s">
        <v>1951</v>
      </c>
      <c r="B623" t="s">
        <v>2037</v>
      </c>
      <c r="C623">
        <v>7500610</v>
      </c>
      <c r="D623">
        <v>120169736</v>
      </c>
      <c r="E623" t="s">
        <v>1954</v>
      </c>
    </row>
    <row r="624" spans="1:10" x14ac:dyDescent="0.3">
      <c r="A624" t="s">
        <v>2058</v>
      </c>
      <c r="B624" t="s">
        <v>2037</v>
      </c>
      <c r="C624">
        <v>7500610</v>
      </c>
      <c r="D624">
        <v>120171289</v>
      </c>
      <c r="E624" t="s">
        <v>2059</v>
      </c>
    </row>
    <row r="625" spans="1:13" x14ac:dyDescent="0.3">
      <c r="A625" t="s">
        <v>2060</v>
      </c>
      <c r="B625" t="s">
        <v>2037</v>
      </c>
      <c r="C625">
        <v>7500610</v>
      </c>
      <c r="D625">
        <v>101091482</v>
      </c>
      <c r="E625" t="s">
        <v>2061</v>
      </c>
    </row>
    <row r="626" spans="1:13" x14ac:dyDescent="0.3">
      <c r="A626" s="13" t="s">
        <v>25</v>
      </c>
      <c r="B626" s="13" t="s">
        <v>26</v>
      </c>
      <c r="C626" s="13"/>
      <c r="D626" s="13">
        <v>100895677</v>
      </c>
      <c r="J626" s="13"/>
      <c r="K626" s="13"/>
      <c r="L626" s="13"/>
      <c r="M626" s="13"/>
    </row>
    <row r="627" spans="1:13" x14ac:dyDescent="0.3">
      <c r="A627" t="s">
        <v>2109</v>
      </c>
      <c r="B627" t="s">
        <v>2107</v>
      </c>
      <c r="C627">
        <v>120171919</v>
      </c>
      <c r="D627">
        <v>120171897</v>
      </c>
      <c r="E627" t="s">
        <v>2247</v>
      </c>
      <c r="G627" t="s">
        <v>2198</v>
      </c>
      <c r="H627" t="s">
        <v>73</v>
      </c>
      <c r="I627" t="s">
        <v>2248</v>
      </c>
      <c r="J627" t="s">
        <v>2200</v>
      </c>
    </row>
    <row r="628" spans="1:13" x14ac:dyDescent="0.3">
      <c r="A628" t="s">
        <v>2108</v>
      </c>
      <c r="B628" t="s">
        <v>2107</v>
      </c>
      <c r="C628">
        <v>120171919</v>
      </c>
      <c r="D628">
        <v>120171896</v>
      </c>
      <c r="E628" t="s">
        <v>2249</v>
      </c>
      <c r="G628" t="s">
        <v>2198</v>
      </c>
      <c r="H628" t="s">
        <v>2250</v>
      </c>
      <c r="I628" t="s">
        <v>2251</v>
      </c>
      <c r="J628" t="s">
        <v>2200</v>
      </c>
    </row>
    <row r="629" spans="1:13" x14ac:dyDescent="0.3">
      <c r="A629" t="s">
        <v>2110</v>
      </c>
      <c r="B629" t="s">
        <v>2107</v>
      </c>
      <c r="C629">
        <v>120171919</v>
      </c>
      <c r="D629">
        <v>120171898</v>
      </c>
      <c r="E629" t="s">
        <v>2252</v>
      </c>
      <c r="G629" t="s">
        <v>2198</v>
      </c>
      <c r="H629" t="s">
        <v>2253</v>
      </c>
      <c r="I629" t="s">
        <v>2254</v>
      </c>
      <c r="J629" t="s">
        <v>2200</v>
      </c>
    </row>
    <row r="630" spans="1:13" x14ac:dyDescent="0.3">
      <c r="A630" t="s">
        <v>2106</v>
      </c>
      <c r="B630" t="s">
        <v>2107</v>
      </c>
      <c r="C630">
        <v>120171919</v>
      </c>
      <c r="D630">
        <v>120171895</v>
      </c>
      <c r="E630" t="s">
        <v>2255</v>
      </c>
      <c r="G630" t="s">
        <v>2198</v>
      </c>
      <c r="H630" t="s">
        <v>2256</v>
      </c>
      <c r="I630" t="s">
        <v>2257</v>
      </c>
      <c r="J630" t="s">
        <v>2200</v>
      </c>
    </row>
    <row r="631" spans="1:13" x14ac:dyDescent="0.3">
      <c r="A631" s="13" t="s">
        <v>116</v>
      </c>
      <c r="B631" s="13" t="s">
        <v>117</v>
      </c>
      <c r="C631" s="13">
        <v>7496107</v>
      </c>
      <c r="D631" s="13">
        <v>101352948</v>
      </c>
      <c r="J631" s="13"/>
      <c r="K631" s="13"/>
      <c r="L631" s="13"/>
      <c r="M631" s="13"/>
    </row>
    <row r="632" spans="1:13" x14ac:dyDescent="0.3">
      <c r="A632" t="s">
        <v>1057</v>
      </c>
      <c r="B632" t="s">
        <v>117</v>
      </c>
      <c r="C632">
        <v>7496107</v>
      </c>
      <c r="D632">
        <v>101401288</v>
      </c>
      <c r="E632" t="s">
        <v>1058</v>
      </c>
      <c r="F632" t="s">
        <v>135</v>
      </c>
      <c r="G632" t="s">
        <v>135</v>
      </c>
      <c r="H632" t="s">
        <v>1226</v>
      </c>
      <c r="I632" t="s">
        <v>1266</v>
      </c>
    </row>
    <row r="633" spans="1:13" x14ac:dyDescent="0.3">
      <c r="A633" t="s">
        <v>1059</v>
      </c>
      <c r="B633" t="s">
        <v>117</v>
      </c>
      <c r="C633">
        <v>7496107</v>
      </c>
      <c r="D633">
        <v>101352949</v>
      </c>
      <c r="E633" t="s">
        <v>1060</v>
      </c>
      <c r="F633" t="s">
        <v>135</v>
      </c>
      <c r="G633" t="s">
        <v>1061</v>
      </c>
      <c r="H633" t="s">
        <v>1267</v>
      </c>
      <c r="I633" t="s">
        <v>1268</v>
      </c>
    </row>
    <row r="634" spans="1:13" x14ac:dyDescent="0.3">
      <c r="A634" t="s">
        <v>1062</v>
      </c>
      <c r="B634" t="s">
        <v>117</v>
      </c>
      <c r="C634">
        <v>7496107</v>
      </c>
      <c r="D634">
        <v>101401289</v>
      </c>
      <c r="E634" t="s">
        <v>1063</v>
      </c>
      <c r="F634" t="s">
        <v>135</v>
      </c>
      <c r="G634" t="s">
        <v>1061</v>
      </c>
      <c r="H634" t="s">
        <v>1269</v>
      </c>
      <c r="I634" t="s">
        <v>1251</v>
      </c>
    </row>
    <row r="635" spans="1:13" x14ac:dyDescent="0.3">
      <c r="A635" t="s">
        <v>1072</v>
      </c>
      <c r="B635" t="s">
        <v>1073</v>
      </c>
      <c r="C635">
        <v>110003378</v>
      </c>
      <c r="D635">
        <v>101413760</v>
      </c>
      <c r="E635" t="s">
        <v>1074</v>
      </c>
      <c r="F635" t="s">
        <v>135</v>
      </c>
      <c r="G635" t="s">
        <v>1075</v>
      </c>
      <c r="H635" s="15" t="str">
        <f>IF(ISBLANK(A635),"",IFERROR(LEFT(A635,SEARCH(" ",A635)-1),""))</f>
        <v>Anthony</v>
      </c>
      <c r="I635" s="15" t="str">
        <f>IF(ISBLANK(A635),"",IFERROR(RIGHT(A635,LEN(A635)-SEARCH(" ",A635)),""))</f>
        <v>Dillson</v>
      </c>
    </row>
    <row r="636" spans="1:13" x14ac:dyDescent="0.3">
      <c r="A636" t="s">
        <v>1076</v>
      </c>
      <c r="B636" t="s">
        <v>1073</v>
      </c>
      <c r="C636">
        <v>110003378</v>
      </c>
      <c r="D636">
        <v>101413761</v>
      </c>
      <c r="E636" t="s">
        <v>1077</v>
      </c>
      <c r="F636" t="s">
        <v>135</v>
      </c>
      <c r="G636" t="s">
        <v>1075</v>
      </c>
      <c r="H636" s="15" t="str">
        <f>IF(ISBLANK(A636),"",IFERROR(LEFT(A636,SEARCH(" ",A636)-1),""))</f>
        <v>Ben</v>
      </c>
      <c r="I636" s="15" t="str">
        <f>IF(ISBLANK(A636),"",IFERROR(RIGHT(A636,LEN(A636)-SEARCH(" ",A636)),""))</f>
        <v>Nelson</v>
      </c>
    </row>
    <row r="637" spans="1:13" x14ac:dyDescent="0.3">
      <c r="A637" t="s">
        <v>1078</v>
      </c>
      <c r="B637" t="s">
        <v>1073</v>
      </c>
      <c r="C637">
        <v>110003378</v>
      </c>
      <c r="D637">
        <v>101413759</v>
      </c>
      <c r="E637" t="s">
        <v>1079</v>
      </c>
      <c r="F637" t="s">
        <v>135</v>
      </c>
      <c r="G637" t="s">
        <v>1075</v>
      </c>
      <c r="H637" s="15" t="str">
        <f>IF(ISBLANK(A637),"",IFERROR(LEFT(A637,SEARCH(" ",A637)-1),""))</f>
        <v>Isaac</v>
      </c>
      <c r="I637" s="15" t="str">
        <f>IF(ISBLANK(A637),"",IFERROR(RIGHT(A637,LEN(A637)-SEARCH(" ",A637)),""))</f>
        <v>Wheat</v>
      </c>
    </row>
    <row r="638" spans="1:13" x14ac:dyDescent="0.3">
      <c r="A638" t="s">
        <v>1080</v>
      </c>
      <c r="B638" t="s">
        <v>1073</v>
      </c>
      <c r="C638">
        <v>110003378</v>
      </c>
      <c r="D638">
        <v>101413758</v>
      </c>
      <c r="E638" t="s">
        <v>1081</v>
      </c>
      <c r="F638" t="s">
        <v>135</v>
      </c>
      <c r="G638" t="s">
        <v>1075</v>
      </c>
      <c r="H638" s="15" t="str">
        <f>IF(ISBLANK(A638),"",IFERROR(LEFT(A638,SEARCH(" ",A638)-1),""))</f>
        <v>John</v>
      </c>
      <c r="I638" s="15" t="str">
        <f>IF(ISBLANK(A638),"",IFERROR(RIGHT(A638,LEN(A638)-SEARCH(" ",A638)),""))</f>
        <v>York</v>
      </c>
    </row>
    <row r="639" spans="1:13" x14ac:dyDescent="0.3">
      <c r="A639" t="s">
        <v>916</v>
      </c>
      <c r="B639" t="s">
        <v>917</v>
      </c>
      <c r="C639" t="s">
        <v>918</v>
      </c>
      <c r="D639">
        <v>101400049</v>
      </c>
      <c r="E639" t="s">
        <v>135</v>
      </c>
      <c r="F639" t="s">
        <v>135</v>
      </c>
      <c r="G639" t="s">
        <v>919</v>
      </c>
      <c r="I639" t="s">
        <v>1146</v>
      </c>
      <c r="J639" t="s">
        <v>1160</v>
      </c>
    </row>
    <row r="640" spans="1:13" x14ac:dyDescent="0.3">
      <c r="A640" t="s">
        <v>920</v>
      </c>
      <c r="B640" t="s">
        <v>917</v>
      </c>
      <c r="C640" t="s">
        <v>918</v>
      </c>
      <c r="D640">
        <v>101400046</v>
      </c>
      <c r="E640" t="s">
        <v>135</v>
      </c>
      <c r="F640" t="s">
        <v>135</v>
      </c>
      <c r="G640" t="s">
        <v>919</v>
      </c>
      <c r="I640" t="s">
        <v>1161</v>
      </c>
      <c r="J640" t="s">
        <v>1100</v>
      </c>
    </row>
    <row r="641" spans="1:13" x14ac:dyDescent="0.3">
      <c r="A641" t="s">
        <v>921</v>
      </c>
      <c r="B641" t="s">
        <v>917</v>
      </c>
      <c r="C641" t="s">
        <v>918</v>
      </c>
      <c r="D641">
        <v>101400044</v>
      </c>
      <c r="E641" t="s">
        <v>135</v>
      </c>
      <c r="F641" t="s">
        <v>135</v>
      </c>
      <c r="G641" t="s">
        <v>919</v>
      </c>
      <c r="I641" t="s">
        <v>1162</v>
      </c>
      <c r="J641" t="s">
        <v>1163</v>
      </c>
    </row>
    <row r="642" spans="1:13" x14ac:dyDescent="0.3">
      <c r="A642" t="s">
        <v>922</v>
      </c>
      <c r="B642" t="s">
        <v>917</v>
      </c>
      <c r="C642" t="s">
        <v>918</v>
      </c>
      <c r="D642">
        <v>101400051</v>
      </c>
      <c r="E642" t="s">
        <v>135</v>
      </c>
      <c r="F642" t="s">
        <v>135</v>
      </c>
      <c r="G642" t="s">
        <v>919</v>
      </c>
      <c r="I642" t="s">
        <v>1164</v>
      </c>
      <c r="J642" t="s">
        <v>1165</v>
      </c>
    </row>
    <row r="643" spans="1:13" x14ac:dyDescent="0.3">
      <c r="A643" t="s">
        <v>923</v>
      </c>
      <c r="B643" t="s">
        <v>917</v>
      </c>
      <c r="C643" t="s">
        <v>918</v>
      </c>
      <c r="D643">
        <v>101400038</v>
      </c>
      <c r="E643" t="s">
        <v>135</v>
      </c>
      <c r="F643" t="s">
        <v>135</v>
      </c>
      <c r="G643" t="s">
        <v>919</v>
      </c>
      <c r="I643" t="s">
        <v>1166</v>
      </c>
      <c r="J643" t="s">
        <v>1167</v>
      </c>
    </row>
    <row r="644" spans="1:13" x14ac:dyDescent="0.3">
      <c r="A644" t="s">
        <v>924</v>
      </c>
      <c r="B644" t="s">
        <v>917</v>
      </c>
      <c r="C644" t="s">
        <v>918</v>
      </c>
      <c r="D644">
        <v>101400045</v>
      </c>
      <c r="E644" t="s">
        <v>135</v>
      </c>
      <c r="F644" t="s">
        <v>135</v>
      </c>
      <c r="G644" t="s">
        <v>919</v>
      </c>
      <c r="I644" t="s">
        <v>1168</v>
      </c>
      <c r="J644" t="s">
        <v>1139</v>
      </c>
    </row>
    <row r="645" spans="1:13" x14ac:dyDescent="0.3">
      <c r="A645" t="s">
        <v>925</v>
      </c>
      <c r="B645" t="s">
        <v>917</v>
      </c>
      <c r="C645" t="s">
        <v>918</v>
      </c>
      <c r="D645">
        <v>101400052</v>
      </c>
      <c r="E645" t="s">
        <v>135</v>
      </c>
      <c r="F645" t="s">
        <v>135</v>
      </c>
      <c r="G645" t="s">
        <v>919</v>
      </c>
      <c r="I645" t="s">
        <v>1169</v>
      </c>
      <c r="J645" t="s">
        <v>1170</v>
      </c>
    </row>
    <row r="646" spans="1:13" x14ac:dyDescent="0.3">
      <c r="A646" t="s">
        <v>926</v>
      </c>
      <c r="B646" t="s">
        <v>917</v>
      </c>
      <c r="C646" t="s">
        <v>918</v>
      </c>
      <c r="D646">
        <v>101400048</v>
      </c>
      <c r="E646" t="s">
        <v>135</v>
      </c>
      <c r="F646" t="s">
        <v>135</v>
      </c>
      <c r="G646" t="s">
        <v>919</v>
      </c>
      <c r="I646" t="s">
        <v>1171</v>
      </c>
      <c r="J646" t="s">
        <v>1172</v>
      </c>
    </row>
    <row r="647" spans="1:13" x14ac:dyDescent="0.3">
      <c r="A647" s="13" t="s">
        <v>123</v>
      </c>
      <c r="B647" s="13" t="s">
        <v>124</v>
      </c>
      <c r="C647" s="13">
        <v>526424</v>
      </c>
      <c r="D647" s="13">
        <v>101213521</v>
      </c>
      <c r="J647" s="13"/>
      <c r="K647" s="13"/>
      <c r="L647" s="13"/>
      <c r="M647" s="13"/>
    </row>
    <row r="648" spans="1:13" x14ac:dyDescent="0.3">
      <c r="A648" s="13" t="s">
        <v>79</v>
      </c>
      <c r="B648" s="13" t="s">
        <v>80</v>
      </c>
      <c r="C648" s="13">
        <v>7488915</v>
      </c>
      <c r="D648" s="13">
        <v>101317938</v>
      </c>
      <c r="J648" s="13"/>
      <c r="K648" s="13"/>
      <c r="L648" s="13"/>
      <c r="M648" s="13"/>
    </row>
    <row r="649" spans="1:13" x14ac:dyDescent="0.3">
      <c r="A649" s="13" t="s">
        <v>81</v>
      </c>
      <c r="B649" s="13" t="s">
        <v>80</v>
      </c>
      <c r="C649" s="13">
        <v>7488915</v>
      </c>
      <c r="D649" s="13">
        <v>101328104</v>
      </c>
      <c r="J649" s="13"/>
      <c r="K649" s="13"/>
      <c r="L649" s="13"/>
      <c r="M649" s="13"/>
    </row>
    <row r="650" spans="1:13" x14ac:dyDescent="0.3">
      <c r="A650" t="s">
        <v>498</v>
      </c>
      <c r="B650" t="s">
        <v>499</v>
      </c>
      <c r="C650">
        <v>70050001</v>
      </c>
      <c r="D650">
        <v>101016444</v>
      </c>
      <c r="E650" t="s">
        <v>500</v>
      </c>
      <c r="F650" t="s">
        <v>135</v>
      </c>
      <c r="G650" t="s">
        <v>501</v>
      </c>
    </row>
    <row r="651" spans="1:13" x14ac:dyDescent="0.3">
      <c r="A651" t="s">
        <v>502</v>
      </c>
      <c r="B651" t="s">
        <v>499</v>
      </c>
      <c r="C651">
        <v>70050001</v>
      </c>
      <c r="D651">
        <v>101118718</v>
      </c>
      <c r="E651" t="s">
        <v>135</v>
      </c>
      <c r="F651" t="s">
        <v>135</v>
      </c>
      <c r="G651" t="s">
        <v>501</v>
      </c>
    </row>
    <row r="652" spans="1:13" x14ac:dyDescent="0.3">
      <c r="A652" t="s">
        <v>503</v>
      </c>
      <c r="B652" t="s">
        <v>499</v>
      </c>
      <c r="C652">
        <v>70050001</v>
      </c>
      <c r="D652">
        <v>101045527</v>
      </c>
      <c r="E652" t="s">
        <v>504</v>
      </c>
      <c r="F652" t="s">
        <v>135</v>
      </c>
      <c r="G652" t="s">
        <v>501</v>
      </c>
    </row>
    <row r="653" spans="1:13" x14ac:dyDescent="0.3">
      <c r="A653" t="s">
        <v>505</v>
      </c>
      <c r="B653" t="s">
        <v>499</v>
      </c>
      <c r="C653">
        <v>70050001</v>
      </c>
      <c r="D653">
        <v>101347747</v>
      </c>
      <c r="E653" t="s">
        <v>506</v>
      </c>
      <c r="F653" t="s">
        <v>135</v>
      </c>
      <c r="G653" t="s">
        <v>501</v>
      </c>
    </row>
    <row r="654" spans="1:13" x14ac:dyDescent="0.3">
      <c r="A654" t="s">
        <v>507</v>
      </c>
      <c r="B654" t="s">
        <v>499</v>
      </c>
      <c r="C654">
        <v>70050001</v>
      </c>
      <c r="D654">
        <v>100933977</v>
      </c>
      <c r="E654" t="s">
        <v>508</v>
      </c>
      <c r="F654" t="s">
        <v>135</v>
      </c>
      <c r="G654" t="s">
        <v>501</v>
      </c>
    </row>
    <row r="655" spans="1:13" x14ac:dyDescent="0.3">
      <c r="A655" t="s">
        <v>509</v>
      </c>
      <c r="B655" t="s">
        <v>499</v>
      </c>
      <c r="C655">
        <v>70050001</v>
      </c>
      <c r="D655">
        <v>101270520</v>
      </c>
      <c r="E655" t="s">
        <v>510</v>
      </c>
      <c r="F655" t="s">
        <v>135</v>
      </c>
      <c r="G655" t="s">
        <v>501</v>
      </c>
    </row>
    <row r="656" spans="1:13" x14ac:dyDescent="0.3">
      <c r="A656" t="s">
        <v>511</v>
      </c>
      <c r="B656" t="s">
        <v>499</v>
      </c>
      <c r="C656">
        <v>70050001</v>
      </c>
      <c r="D656">
        <v>100283135</v>
      </c>
      <c r="E656" t="s">
        <v>512</v>
      </c>
      <c r="F656" t="s">
        <v>135</v>
      </c>
      <c r="G656" t="s">
        <v>501</v>
      </c>
    </row>
    <row r="657" spans="1:7" x14ac:dyDescent="0.3">
      <c r="A657" t="s">
        <v>513</v>
      </c>
      <c r="B657" t="s">
        <v>499</v>
      </c>
      <c r="C657">
        <v>70050001</v>
      </c>
      <c r="D657">
        <v>100966066</v>
      </c>
      <c r="E657" t="s">
        <v>514</v>
      </c>
      <c r="F657" t="s">
        <v>135</v>
      </c>
      <c r="G657" t="s">
        <v>501</v>
      </c>
    </row>
    <row r="658" spans="1:7" x14ac:dyDescent="0.3">
      <c r="A658" t="s">
        <v>515</v>
      </c>
      <c r="B658" t="s">
        <v>499</v>
      </c>
      <c r="C658">
        <v>70050001</v>
      </c>
      <c r="D658">
        <v>100962116</v>
      </c>
      <c r="E658" t="s">
        <v>516</v>
      </c>
      <c r="F658" t="s">
        <v>135</v>
      </c>
      <c r="G658" t="s">
        <v>501</v>
      </c>
    </row>
    <row r="659" spans="1:7" x14ac:dyDescent="0.3">
      <c r="A659" t="s">
        <v>517</v>
      </c>
      <c r="B659" t="s">
        <v>499</v>
      </c>
      <c r="C659">
        <v>70050001</v>
      </c>
      <c r="D659">
        <v>100962104</v>
      </c>
      <c r="E659" t="s">
        <v>518</v>
      </c>
      <c r="F659" t="s">
        <v>135</v>
      </c>
      <c r="G659" t="s">
        <v>501</v>
      </c>
    </row>
    <row r="660" spans="1:7" x14ac:dyDescent="0.3">
      <c r="A660" t="s">
        <v>519</v>
      </c>
      <c r="B660" t="s">
        <v>499</v>
      </c>
      <c r="C660">
        <v>70050001</v>
      </c>
      <c r="D660">
        <v>100416321</v>
      </c>
      <c r="E660" t="s">
        <v>520</v>
      </c>
      <c r="F660" t="s">
        <v>521</v>
      </c>
      <c r="G660" t="s">
        <v>501</v>
      </c>
    </row>
    <row r="661" spans="1:7" x14ac:dyDescent="0.3">
      <c r="A661" t="s">
        <v>522</v>
      </c>
      <c r="B661" t="s">
        <v>499</v>
      </c>
      <c r="C661">
        <v>70050001</v>
      </c>
      <c r="D661">
        <v>100541880</v>
      </c>
      <c r="E661" t="s">
        <v>523</v>
      </c>
      <c r="F661" t="s">
        <v>135</v>
      </c>
      <c r="G661" t="s">
        <v>501</v>
      </c>
    </row>
    <row r="662" spans="1:7" x14ac:dyDescent="0.3">
      <c r="A662" t="s">
        <v>524</v>
      </c>
      <c r="B662" t="s">
        <v>499</v>
      </c>
      <c r="C662">
        <v>70050001</v>
      </c>
      <c r="D662">
        <v>100966087</v>
      </c>
      <c r="E662" t="s">
        <v>525</v>
      </c>
      <c r="F662" t="s">
        <v>135</v>
      </c>
      <c r="G662" t="s">
        <v>501</v>
      </c>
    </row>
    <row r="663" spans="1:7" x14ac:dyDescent="0.3">
      <c r="A663" t="s">
        <v>526</v>
      </c>
      <c r="B663" t="s">
        <v>499</v>
      </c>
      <c r="C663">
        <v>70050001</v>
      </c>
      <c r="D663">
        <v>100962520</v>
      </c>
      <c r="E663" t="s">
        <v>527</v>
      </c>
      <c r="F663" t="s">
        <v>528</v>
      </c>
      <c r="G663" t="s">
        <v>501</v>
      </c>
    </row>
    <row r="664" spans="1:7" x14ac:dyDescent="0.3">
      <c r="A664" t="s">
        <v>529</v>
      </c>
      <c r="B664" t="s">
        <v>499</v>
      </c>
      <c r="C664">
        <v>70050001</v>
      </c>
      <c r="D664">
        <v>100962536</v>
      </c>
      <c r="E664" t="s">
        <v>530</v>
      </c>
      <c r="F664" t="s">
        <v>135</v>
      </c>
      <c r="G664" t="s">
        <v>501</v>
      </c>
    </row>
    <row r="665" spans="1:7" x14ac:dyDescent="0.3">
      <c r="A665" t="s">
        <v>531</v>
      </c>
      <c r="B665" t="s">
        <v>499</v>
      </c>
      <c r="C665">
        <v>70050001</v>
      </c>
      <c r="D665">
        <v>101251673</v>
      </c>
      <c r="E665" t="s">
        <v>532</v>
      </c>
      <c r="F665" t="s">
        <v>135</v>
      </c>
      <c r="G665" t="s">
        <v>501</v>
      </c>
    </row>
    <row r="666" spans="1:7" x14ac:dyDescent="0.3">
      <c r="A666" t="s">
        <v>533</v>
      </c>
      <c r="B666" t="s">
        <v>499</v>
      </c>
      <c r="C666">
        <v>70050001</v>
      </c>
      <c r="D666">
        <v>100962569</v>
      </c>
      <c r="E666" t="s">
        <v>534</v>
      </c>
      <c r="F666" t="s">
        <v>135</v>
      </c>
      <c r="G666" t="s">
        <v>501</v>
      </c>
    </row>
    <row r="667" spans="1:7" x14ac:dyDescent="0.3">
      <c r="A667" t="s">
        <v>535</v>
      </c>
      <c r="B667" t="s">
        <v>499</v>
      </c>
      <c r="C667">
        <v>70050001</v>
      </c>
      <c r="D667">
        <v>100722359</v>
      </c>
      <c r="E667" t="s">
        <v>536</v>
      </c>
      <c r="F667" t="s">
        <v>537</v>
      </c>
      <c r="G667" t="s">
        <v>501</v>
      </c>
    </row>
    <row r="668" spans="1:7" x14ac:dyDescent="0.3">
      <c r="A668" t="s">
        <v>538</v>
      </c>
      <c r="B668" t="s">
        <v>499</v>
      </c>
      <c r="C668">
        <v>70050001</v>
      </c>
      <c r="D668">
        <v>101202243</v>
      </c>
      <c r="E668" t="s">
        <v>539</v>
      </c>
      <c r="F668" t="s">
        <v>135</v>
      </c>
      <c r="G668" t="s">
        <v>501</v>
      </c>
    </row>
    <row r="669" spans="1:7" x14ac:dyDescent="0.3">
      <c r="A669" t="s">
        <v>540</v>
      </c>
      <c r="B669" t="s">
        <v>499</v>
      </c>
      <c r="C669">
        <v>70050001</v>
      </c>
      <c r="D669">
        <v>100962609</v>
      </c>
      <c r="E669" t="s">
        <v>541</v>
      </c>
      <c r="F669" t="s">
        <v>542</v>
      </c>
      <c r="G669" t="s">
        <v>501</v>
      </c>
    </row>
    <row r="670" spans="1:7" x14ac:dyDescent="0.3">
      <c r="A670" t="s">
        <v>543</v>
      </c>
      <c r="B670" t="s">
        <v>499</v>
      </c>
      <c r="C670">
        <v>70050001</v>
      </c>
      <c r="D670">
        <v>100397999</v>
      </c>
      <c r="E670" t="s">
        <v>544</v>
      </c>
      <c r="F670" t="s">
        <v>135</v>
      </c>
      <c r="G670" t="s">
        <v>501</v>
      </c>
    </row>
    <row r="671" spans="1:7" x14ac:dyDescent="0.3">
      <c r="A671" t="s">
        <v>545</v>
      </c>
      <c r="B671" t="s">
        <v>499</v>
      </c>
      <c r="C671">
        <v>70050001</v>
      </c>
      <c r="D671">
        <v>101213459</v>
      </c>
      <c r="E671" t="s">
        <v>546</v>
      </c>
      <c r="F671" t="s">
        <v>135</v>
      </c>
      <c r="G671" t="s">
        <v>501</v>
      </c>
    </row>
    <row r="672" spans="1:7" x14ac:dyDescent="0.3">
      <c r="A672" t="s">
        <v>547</v>
      </c>
      <c r="B672" t="s">
        <v>499</v>
      </c>
      <c r="C672">
        <v>70050001</v>
      </c>
      <c r="D672">
        <v>100791933</v>
      </c>
      <c r="E672" t="s">
        <v>548</v>
      </c>
      <c r="F672" t="s">
        <v>135</v>
      </c>
      <c r="G672" t="s">
        <v>501</v>
      </c>
    </row>
    <row r="673" spans="1:7" x14ac:dyDescent="0.3">
      <c r="A673" t="s">
        <v>549</v>
      </c>
      <c r="B673" t="s">
        <v>499</v>
      </c>
      <c r="C673">
        <v>70050001</v>
      </c>
      <c r="D673">
        <v>100963381</v>
      </c>
      <c r="E673" t="s">
        <v>550</v>
      </c>
      <c r="F673" t="s">
        <v>135</v>
      </c>
      <c r="G673" t="s">
        <v>501</v>
      </c>
    </row>
    <row r="674" spans="1:7" x14ac:dyDescent="0.3">
      <c r="A674" t="s">
        <v>551</v>
      </c>
      <c r="B674" t="s">
        <v>499</v>
      </c>
      <c r="C674">
        <v>70050001</v>
      </c>
      <c r="D674">
        <v>100284810</v>
      </c>
      <c r="E674" t="s">
        <v>552</v>
      </c>
      <c r="F674" t="s">
        <v>135</v>
      </c>
      <c r="G674" t="s">
        <v>501</v>
      </c>
    </row>
    <row r="675" spans="1:7" x14ac:dyDescent="0.3">
      <c r="A675" t="s">
        <v>553</v>
      </c>
      <c r="B675" t="s">
        <v>499</v>
      </c>
      <c r="C675">
        <v>70050001</v>
      </c>
      <c r="D675">
        <v>100966068</v>
      </c>
      <c r="E675" t="s">
        <v>554</v>
      </c>
      <c r="F675" t="s">
        <v>135</v>
      </c>
      <c r="G675" t="s">
        <v>501</v>
      </c>
    </row>
    <row r="676" spans="1:7" x14ac:dyDescent="0.3">
      <c r="A676" t="s">
        <v>555</v>
      </c>
      <c r="B676" t="s">
        <v>499</v>
      </c>
      <c r="C676">
        <v>70050001</v>
      </c>
      <c r="D676">
        <v>100283909</v>
      </c>
      <c r="E676" t="s">
        <v>556</v>
      </c>
      <c r="F676" t="s">
        <v>135</v>
      </c>
      <c r="G676" t="s">
        <v>501</v>
      </c>
    </row>
    <row r="677" spans="1:7" x14ac:dyDescent="0.3">
      <c r="A677" t="s">
        <v>557</v>
      </c>
      <c r="B677" t="s">
        <v>499</v>
      </c>
      <c r="C677">
        <v>70050001</v>
      </c>
      <c r="D677">
        <v>100992043</v>
      </c>
      <c r="E677" t="s">
        <v>558</v>
      </c>
      <c r="F677" t="s">
        <v>135</v>
      </c>
      <c r="G677" t="s">
        <v>501</v>
      </c>
    </row>
    <row r="678" spans="1:7" x14ac:dyDescent="0.3">
      <c r="A678" t="s">
        <v>559</v>
      </c>
      <c r="B678" t="s">
        <v>499</v>
      </c>
      <c r="C678">
        <v>70050001</v>
      </c>
      <c r="D678">
        <v>101016445</v>
      </c>
      <c r="E678" t="s">
        <v>560</v>
      </c>
      <c r="F678" t="s">
        <v>135</v>
      </c>
      <c r="G678" t="s">
        <v>501</v>
      </c>
    </row>
    <row r="679" spans="1:7" x14ac:dyDescent="0.3">
      <c r="A679" t="s">
        <v>561</v>
      </c>
      <c r="B679" t="s">
        <v>499</v>
      </c>
      <c r="C679">
        <v>70050001</v>
      </c>
      <c r="D679">
        <v>101019879</v>
      </c>
      <c r="E679" t="s">
        <v>562</v>
      </c>
      <c r="F679" t="s">
        <v>135</v>
      </c>
      <c r="G679" t="s">
        <v>501</v>
      </c>
    </row>
    <row r="680" spans="1:7" x14ac:dyDescent="0.3">
      <c r="A680" t="s">
        <v>563</v>
      </c>
      <c r="B680" t="s">
        <v>499</v>
      </c>
      <c r="C680">
        <v>70050001</v>
      </c>
      <c r="D680">
        <v>100966880</v>
      </c>
      <c r="E680" t="s">
        <v>564</v>
      </c>
      <c r="F680" t="s">
        <v>135</v>
      </c>
      <c r="G680" t="s">
        <v>501</v>
      </c>
    </row>
    <row r="681" spans="1:7" x14ac:dyDescent="0.3">
      <c r="A681" t="s">
        <v>565</v>
      </c>
      <c r="B681" t="s">
        <v>499</v>
      </c>
      <c r="C681">
        <v>70050001</v>
      </c>
      <c r="D681">
        <v>100963382</v>
      </c>
      <c r="E681" t="s">
        <v>566</v>
      </c>
      <c r="F681" t="s">
        <v>567</v>
      </c>
      <c r="G681" t="s">
        <v>501</v>
      </c>
    </row>
    <row r="682" spans="1:7" x14ac:dyDescent="0.3">
      <c r="A682" t="s">
        <v>568</v>
      </c>
      <c r="B682" t="s">
        <v>499</v>
      </c>
      <c r="C682">
        <v>70050001</v>
      </c>
      <c r="D682">
        <v>100966069</v>
      </c>
      <c r="E682" t="s">
        <v>569</v>
      </c>
      <c r="F682" t="s">
        <v>135</v>
      </c>
      <c r="G682" t="s">
        <v>501</v>
      </c>
    </row>
    <row r="683" spans="1:7" x14ac:dyDescent="0.3">
      <c r="A683" t="s">
        <v>570</v>
      </c>
      <c r="B683" t="s">
        <v>499</v>
      </c>
      <c r="C683">
        <v>70050001</v>
      </c>
      <c r="D683">
        <v>100963404</v>
      </c>
      <c r="E683" t="s">
        <v>571</v>
      </c>
      <c r="F683" t="s">
        <v>135</v>
      </c>
      <c r="G683" t="s">
        <v>501</v>
      </c>
    </row>
    <row r="684" spans="1:7" x14ac:dyDescent="0.3">
      <c r="A684" t="s">
        <v>572</v>
      </c>
      <c r="B684" t="s">
        <v>499</v>
      </c>
      <c r="C684">
        <v>70050001</v>
      </c>
      <c r="D684">
        <v>100966070</v>
      </c>
      <c r="E684" t="s">
        <v>573</v>
      </c>
      <c r="F684" t="s">
        <v>135</v>
      </c>
      <c r="G684" t="s">
        <v>501</v>
      </c>
    </row>
    <row r="685" spans="1:7" x14ac:dyDescent="0.3">
      <c r="A685" t="s">
        <v>574</v>
      </c>
      <c r="B685" t="s">
        <v>499</v>
      </c>
      <c r="C685">
        <v>70050001</v>
      </c>
      <c r="D685">
        <v>100996623</v>
      </c>
      <c r="E685" t="s">
        <v>575</v>
      </c>
      <c r="F685" t="s">
        <v>135</v>
      </c>
      <c r="G685" t="s">
        <v>501</v>
      </c>
    </row>
    <row r="686" spans="1:7" x14ac:dyDescent="0.3">
      <c r="A686" t="s">
        <v>576</v>
      </c>
      <c r="B686" t="s">
        <v>499</v>
      </c>
      <c r="C686">
        <v>70050001</v>
      </c>
      <c r="D686">
        <v>100974319</v>
      </c>
      <c r="E686" t="s">
        <v>577</v>
      </c>
      <c r="F686" t="s">
        <v>135</v>
      </c>
      <c r="G686" t="s">
        <v>501</v>
      </c>
    </row>
    <row r="687" spans="1:7" x14ac:dyDescent="0.3">
      <c r="A687" t="s">
        <v>578</v>
      </c>
      <c r="B687" t="s">
        <v>499</v>
      </c>
      <c r="C687">
        <v>70050001</v>
      </c>
      <c r="D687">
        <v>100963405</v>
      </c>
      <c r="E687" t="s">
        <v>579</v>
      </c>
      <c r="F687" t="s">
        <v>135</v>
      </c>
      <c r="G687" t="s">
        <v>501</v>
      </c>
    </row>
    <row r="688" spans="1:7" x14ac:dyDescent="0.3">
      <c r="A688" t="s">
        <v>580</v>
      </c>
      <c r="B688" t="s">
        <v>499</v>
      </c>
      <c r="C688">
        <v>70050001</v>
      </c>
      <c r="D688">
        <v>100966071</v>
      </c>
      <c r="E688" t="s">
        <v>581</v>
      </c>
      <c r="F688" t="s">
        <v>135</v>
      </c>
      <c r="G688" t="s">
        <v>501</v>
      </c>
    </row>
    <row r="689" spans="1:7" x14ac:dyDescent="0.3">
      <c r="A689" t="s">
        <v>582</v>
      </c>
      <c r="B689" t="s">
        <v>499</v>
      </c>
      <c r="C689">
        <v>70050001</v>
      </c>
      <c r="D689">
        <v>101329582</v>
      </c>
      <c r="E689" t="s">
        <v>583</v>
      </c>
      <c r="F689" t="s">
        <v>135</v>
      </c>
      <c r="G689" t="s">
        <v>501</v>
      </c>
    </row>
    <row r="690" spans="1:7" x14ac:dyDescent="0.3">
      <c r="A690" t="s">
        <v>584</v>
      </c>
      <c r="B690" t="s">
        <v>499</v>
      </c>
      <c r="C690">
        <v>70050001</v>
      </c>
      <c r="D690">
        <v>100963407</v>
      </c>
      <c r="E690" t="s">
        <v>585</v>
      </c>
      <c r="F690" t="s">
        <v>135</v>
      </c>
      <c r="G690" t="s">
        <v>501</v>
      </c>
    </row>
    <row r="691" spans="1:7" x14ac:dyDescent="0.3">
      <c r="A691" t="s">
        <v>586</v>
      </c>
      <c r="B691" t="s">
        <v>499</v>
      </c>
      <c r="C691">
        <v>70050001</v>
      </c>
      <c r="D691">
        <v>100963408</v>
      </c>
      <c r="E691" t="s">
        <v>587</v>
      </c>
      <c r="F691" t="s">
        <v>588</v>
      </c>
      <c r="G691" t="s">
        <v>501</v>
      </c>
    </row>
    <row r="692" spans="1:7" x14ac:dyDescent="0.3">
      <c r="A692" t="s">
        <v>589</v>
      </c>
      <c r="B692" t="s">
        <v>499</v>
      </c>
      <c r="C692">
        <v>70050001</v>
      </c>
      <c r="D692">
        <v>101338041</v>
      </c>
      <c r="E692" t="s">
        <v>590</v>
      </c>
      <c r="F692" t="s">
        <v>135</v>
      </c>
      <c r="G692" t="s">
        <v>501</v>
      </c>
    </row>
    <row r="693" spans="1:7" x14ac:dyDescent="0.3">
      <c r="A693" t="s">
        <v>591</v>
      </c>
      <c r="B693" t="s">
        <v>499</v>
      </c>
      <c r="C693">
        <v>70050001</v>
      </c>
      <c r="D693">
        <v>100284734</v>
      </c>
      <c r="E693" t="s">
        <v>592</v>
      </c>
      <c r="F693" t="s">
        <v>135</v>
      </c>
      <c r="G693" t="s">
        <v>501</v>
      </c>
    </row>
    <row r="694" spans="1:7" x14ac:dyDescent="0.3">
      <c r="A694" t="s">
        <v>593</v>
      </c>
      <c r="B694" t="s">
        <v>499</v>
      </c>
      <c r="C694">
        <v>70050001</v>
      </c>
      <c r="D694">
        <v>100963410</v>
      </c>
      <c r="E694" t="s">
        <v>594</v>
      </c>
      <c r="F694" t="s">
        <v>135</v>
      </c>
      <c r="G694" t="s">
        <v>501</v>
      </c>
    </row>
    <row r="695" spans="1:7" x14ac:dyDescent="0.3">
      <c r="A695" t="s">
        <v>595</v>
      </c>
      <c r="B695" t="s">
        <v>499</v>
      </c>
      <c r="C695">
        <v>70050001</v>
      </c>
      <c r="D695">
        <v>100963412</v>
      </c>
      <c r="E695" t="s">
        <v>596</v>
      </c>
      <c r="F695" t="s">
        <v>135</v>
      </c>
      <c r="G695" t="s">
        <v>501</v>
      </c>
    </row>
    <row r="696" spans="1:7" x14ac:dyDescent="0.3">
      <c r="A696" t="s">
        <v>597</v>
      </c>
      <c r="B696" t="s">
        <v>499</v>
      </c>
      <c r="C696">
        <v>70050001</v>
      </c>
      <c r="D696">
        <v>101329592</v>
      </c>
      <c r="E696" t="s">
        <v>598</v>
      </c>
      <c r="F696" t="s">
        <v>135</v>
      </c>
      <c r="G696" t="s">
        <v>501</v>
      </c>
    </row>
    <row r="697" spans="1:7" x14ac:dyDescent="0.3">
      <c r="A697" t="s">
        <v>599</v>
      </c>
      <c r="B697" t="s">
        <v>499</v>
      </c>
      <c r="C697">
        <v>70050001</v>
      </c>
      <c r="D697">
        <v>100963421</v>
      </c>
      <c r="E697" t="s">
        <v>600</v>
      </c>
      <c r="F697" t="s">
        <v>135</v>
      </c>
      <c r="G697" t="s">
        <v>501</v>
      </c>
    </row>
    <row r="698" spans="1:7" x14ac:dyDescent="0.3">
      <c r="A698" t="s">
        <v>601</v>
      </c>
      <c r="B698" t="s">
        <v>499</v>
      </c>
      <c r="C698">
        <v>70050001</v>
      </c>
      <c r="D698">
        <v>100963423</v>
      </c>
      <c r="E698" t="s">
        <v>602</v>
      </c>
      <c r="F698" t="s">
        <v>135</v>
      </c>
      <c r="G698" t="s">
        <v>501</v>
      </c>
    </row>
    <row r="699" spans="1:7" x14ac:dyDescent="0.3">
      <c r="A699" t="s">
        <v>603</v>
      </c>
      <c r="B699" t="s">
        <v>499</v>
      </c>
      <c r="C699">
        <v>70050001</v>
      </c>
      <c r="D699">
        <v>100963425</v>
      </c>
      <c r="E699" t="s">
        <v>604</v>
      </c>
      <c r="F699" t="s">
        <v>135</v>
      </c>
      <c r="G699" t="s">
        <v>501</v>
      </c>
    </row>
    <row r="700" spans="1:7" x14ac:dyDescent="0.3">
      <c r="A700" t="s">
        <v>605</v>
      </c>
      <c r="B700" t="s">
        <v>499</v>
      </c>
      <c r="C700">
        <v>70050001</v>
      </c>
      <c r="D700">
        <v>100963427</v>
      </c>
      <c r="E700" t="s">
        <v>606</v>
      </c>
      <c r="F700" t="s">
        <v>135</v>
      </c>
      <c r="G700" t="s">
        <v>501</v>
      </c>
    </row>
    <row r="701" spans="1:7" x14ac:dyDescent="0.3">
      <c r="A701" t="s">
        <v>607</v>
      </c>
      <c r="B701" t="s">
        <v>499</v>
      </c>
      <c r="C701">
        <v>70050001</v>
      </c>
      <c r="D701">
        <v>100966072</v>
      </c>
      <c r="E701" t="s">
        <v>608</v>
      </c>
      <c r="F701" t="s">
        <v>135</v>
      </c>
      <c r="G701" t="s">
        <v>501</v>
      </c>
    </row>
    <row r="702" spans="1:7" x14ac:dyDescent="0.3">
      <c r="A702" t="s">
        <v>609</v>
      </c>
      <c r="B702" t="s">
        <v>499</v>
      </c>
      <c r="C702">
        <v>70050001</v>
      </c>
      <c r="D702">
        <v>101288194</v>
      </c>
      <c r="E702" t="s">
        <v>610</v>
      </c>
      <c r="F702" t="s">
        <v>135</v>
      </c>
      <c r="G702" t="s">
        <v>501</v>
      </c>
    </row>
    <row r="703" spans="1:7" x14ac:dyDescent="0.3">
      <c r="A703" t="s">
        <v>611</v>
      </c>
      <c r="B703" t="s">
        <v>499</v>
      </c>
      <c r="C703">
        <v>70050001</v>
      </c>
      <c r="D703">
        <v>101100205</v>
      </c>
      <c r="E703" t="s">
        <v>612</v>
      </c>
      <c r="F703" t="s">
        <v>135</v>
      </c>
      <c r="G703" t="s">
        <v>501</v>
      </c>
    </row>
    <row r="704" spans="1:7" x14ac:dyDescent="0.3">
      <c r="A704" t="s">
        <v>613</v>
      </c>
      <c r="B704" t="s">
        <v>499</v>
      </c>
      <c r="C704">
        <v>70050001</v>
      </c>
      <c r="D704">
        <v>101270793</v>
      </c>
      <c r="E704" t="s">
        <v>614</v>
      </c>
      <c r="F704" t="s">
        <v>135</v>
      </c>
      <c r="G704" t="s">
        <v>501</v>
      </c>
    </row>
    <row r="705" spans="1:7" x14ac:dyDescent="0.3">
      <c r="A705" t="s">
        <v>615</v>
      </c>
      <c r="B705" t="s">
        <v>499</v>
      </c>
      <c r="C705">
        <v>70050001</v>
      </c>
      <c r="D705">
        <v>100551114</v>
      </c>
      <c r="E705" t="s">
        <v>616</v>
      </c>
      <c r="F705" t="s">
        <v>617</v>
      </c>
      <c r="G705" t="s">
        <v>501</v>
      </c>
    </row>
    <row r="706" spans="1:7" x14ac:dyDescent="0.3">
      <c r="A706" t="s">
        <v>618</v>
      </c>
      <c r="B706" t="s">
        <v>499</v>
      </c>
      <c r="C706">
        <v>70050001</v>
      </c>
      <c r="D706">
        <v>101365686</v>
      </c>
      <c r="E706" t="s">
        <v>619</v>
      </c>
      <c r="F706" t="s">
        <v>135</v>
      </c>
      <c r="G706" t="s">
        <v>501</v>
      </c>
    </row>
    <row r="707" spans="1:7" x14ac:dyDescent="0.3">
      <c r="A707" t="s">
        <v>620</v>
      </c>
      <c r="B707" t="s">
        <v>499</v>
      </c>
      <c r="C707">
        <v>70050001</v>
      </c>
      <c r="D707">
        <v>100966073</v>
      </c>
      <c r="E707" t="s">
        <v>621</v>
      </c>
      <c r="F707" t="s">
        <v>135</v>
      </c>
      <c r="G707" t="s">
        <v>501</v>
      </c>
    </row>
    <row r="708" spans="1:7" x14ac:dyDescent="0.3">
      <c r="A708" t="s">
        <v>622</v>
      </c>
      <c r="B708" t="s">
        <v>499</v>
      </c>
      <c r="C708">
        <v>70050001</v>
      </c>
      <c r="D708">
        <v>100963435</v>
      </c>
      <c r="E708" t="s">
        <v>623</v>
      </c>
      <c r="F708" t="s">
        <v>135</v>
      </c>
      <c r="G708" t="s">
        <v>501</v>
      </c>
    </row>
    <row r="709" spans="1:7" x14ac:dyDescent="0.3">
      <c r="A709" t="s">
        <v>624</v>
      </c>
      <c r="B709" t="s">
        <v>499</v>
      </c>
      <c r="C709">
        <v>70050001</v>
      </c>
      <c r="D709">
        <v>101063724</v>
      </c>
      <c r="E709" t="s">
        <v>625</v>
      </c>
      <c r="F709" t="s">
        <v>135</v>
      </c>
      <c r="G709" t="s">
        <v>501</v>
      </c>
    </row>
    <row r="710" spans="1:7" x14ac:dyDescent="0.3">
      <c r="A710" t="s">
        <v>626</v>
      </c>
      <c r="B710" t="s">
        <v>499</v>
      </c>
      <c r="C710">
        <v>70050001</v>
      </c>
      <c r="D710">
        <v>100963437</v>
      </c>
      <c r="E710" t="s">
        <v>627</v>
      </c>
      <c r="F710" t="s">
        <v>135</v>
      </c>
      <c r="G710" t="s">
        <v>501</v>
      </c>
    </row>
    <row r="711" spans="1:7" x14ac:dyDescent="0.3">
      <c r="A711" t="s">
        <v>628</v>
      </c>
      <c r="B711" t="s">
        <v>499</v>
      </c>
      <c r="C711">
        <v>70050001</v>
      </c>
      <c r="D711">
        <v>101346580</v>
      </c>
      <c r="E711" t="s">
        <v>629</v>
      </c>
      <c r="F711" t="s">
        <v>135</v>
      </c>
      <c r="G711" t="s">
        <v>501</v>
      </c>
    </row>
    <row r="712" spans="1:7" x14ac:dyDescent="0.3">
      <c r="A712" t="s">
        <v>630</v>
      </c>
      <c r="B712" t="s">
        <v>499</v>
      </c>
      <c r="C712">
        <v>70050001</v>
      </c>
      <c r="D712">
        <v>100966063</v>
      </c>
      <c r="E712" t="s">
        <v>631</v>
      </c>
      <c r="F712" t="s">
        <v>135</v>
      </c>
      <c r="G712" t="s">
        <v>501</v>
      </c>
    </row>
    <row r="713" spans="1:7" x14ac:dyDescent="0.3">
      <c r="A713" t="s">
        <v>632</v>
      </c>
      <c r="B713" t="s">
        <v>499</v>
      </c>
      <c r="C713">
        <v>70050001</v>
      </c>
      <c r="D713">
        <v>100963438</v>
      </c>
      <c r="E713" t="s">
        <v>633</v>
      </c>
      <c r="F713" t="s">
        <v>634</v>
      </c>
      <c r="G713" t="s">
        <v>501</v>
      </c>
    </row>
    <row r="714" spans="1:7" ht="15" customHeight="1" x14ac:dyDescent="0.3">
      <c r="A714" t="s">
        <v>635</v>
      </c>
      <c r="B714" t="s">
        <v>499</v>
      </c>
      <c r="C714">
        <v>70050001</v>
      </c>
      <c r="D714">
        <v>101296005</v>
      </c>
      <c r="E714" t="s">
        <v>636</v>
      </c>
      <c r="F714" t="s">
        <v>135</v>
      </c>
      <c r="G714" t="s">
        <v>501</v>
      </c>
    </row>
    <row r="715" spans="1:7" x14ac:dyDescent="0.3">
      <c r="A715" t="s">
        <v>637</v>
      </c>
      <c r="B715" t="s">
        <v>499</v>
      </c>
      <c r="C715">
        <v>70050001</v>
      </c>
      <c r="D715">
        <v>100966074</v>
      </c>
      <c r="E715" t="s">
        <v>638</v>
      </c>
      <c r="F715" t="s">
        <v>135</v>
      </c>
      <c r="G715" t="s">
        <v>501</v>
      </c>
    </row>
    <row r="716" spans="1:7" x14ac:dyDescent="0.3">
      <c r="A716" t="s">
        <v>639</v>
      </c>
      <c r="B716" t="s">
        <v>499</v>
      </c>
      <c r="C716">
        <v>70050001</v>
      </c>
      <c r="D716">
        <v>100966917</v>
      </c>
      <c r="E716" t="s">
        <v>640</v>
      </c>
      <c r="F716" t="s">
        <v>135</v>
      </c>
      <c r="G716" t="s">
        <v>501</v>
      </c>
    </row>
    <row r="717" spans="1:7" x14ac:dyDescent="0.3">
      <c r="A717" t="s">
        <v>641</v>
      </c>
      <c r="B717" t="s">
        <v>499</v>
      </c>
      <c r="C717">
        <v>70050001</v>
      </c>
      <c r="D717">
        <v>100966088</v>
      </c>
      <c r="E717" t="s">
        <v>642</v>
      </c>
      <c r="F717" t="s">
        <v>135</v>
      </c>
      <c r="G717" t="s">
        <v>501</v>
      </c>
    </row>
    <row r="718" spans="1:7" x14ac:dyDescent="0.3">
      <c r="A718" t="s">
        <v>643</v>
      </c>
      <c r="B718" t="s">
        <v>499</v>
      </c>
      <c r="C718">
        <v>70050001</v>
      </c>
      <c r="D718">
        <v>100963439</v>
      </c>
      <c r="E718" t="s">
        <v>644</v>
      </c>
      <c r="F718" t="s">
        <v>135</v>
      </c>
      <c r="G718" t="s">
        <v>501</v>
      </c>
    </row>
    <row r="719" spans="1:7" x14ac:dyDescent="0.3">
      <c r="A719" t="s">
        <v>645</v>
      </c>
      <c r="B719" t="s">
        <v>499</v>
      </c>
      <c r="C719">
        <v>70050001</v>
      </c>
      <c r="D719">
        <v>100283206</v>
      </c>
      <c r="E719" t="s">
        <v>646</v>
      </c>
      <c r="F719" t="s">
        <v>135</v>
      </c>
      <c r="G719" t="s">
        <v>501</v>
      </c>
    </row>
    <row r="720" spans="1:7" x14ac:dyDescent="0.3">
      <c r="A720" t="s">
        <v>647</v>
      </c>
      <c r="B720" t="s">
        <v>499</v>
      </c>
      <c r="C720">
        <v>70050001</v>
      </c>
      <c r="D720">
        <v>100963440</v>
      </c>
      <c r="E720" t="s">
        <v>648</v>
      </c>
      <c r="F720" t="s">
        <v>649</v>
      </c>
      <c r="G720" t="s">
        <v>501</v>
      </c>
    </row>
    <row r="721" spans="1:7" x14ac:dyDescent="0.3">
      <c r="A721" t="s">
        <v>650</v>
      </c>
      <c r="B721" t="s">
        <v>499</v>
      </c>
      <c r="C721">
        <v>70050001</v>
      </c>
      <c r="D721">
        <v>101028715</v>
      </c>
      <c r="E721" t="s">
        <v>651</v>
      </c>
      <c r="F721" t="s">
        <v>135</v>
      </c>
      <c r="G721" t="s">
        <v>501</v>
      </c>
    </row>
    <row r="722" spans="1:7" x14ac:dyDescent="0.3">
      <c r="A722" t="s">
        <v>652</v>
      </c>
      <c r="B722" t="s">
        <v>499</v>
      </c>
      <c r="C722">
        <v>70050001</v>
      </c>
      <c r="D722">
        <v>101347449</v>
      </c>
      <c r="E722" t="s">
        <v>653</v>
      </c>
      <c r="F722" t="s">
        <v>654</v>
      </c>
      <c r="G722" t="s">
        <v>501</v>
      </c>
    </row>
    <row r="723" spans="1:7" x14ac:dyDescent="0.3">
      <c r="A723" t="s">
        <v>655</v>
      </c>
      <c r="B723" t="s">
        <v>499</v>
      </c>
      <c r="C723">
        <v>70050001</v>
      </c>
      <c r="D723">
        <v>101320317</v>
      </c>
      <c r="E723" t="s">
        <v>656</v>
      </c>
      <c r="F723" t="s">
        <v>135</v>
      </c>
      <c r="G723" t="s">
        <v>501</v>
      </c>
    </row>
    <row r="724" spans="1:7" x14ac:dyDescent="0.3">
      <c r="A724" t="s">
        <v>657</v>
      </c>
      <c r="B724" t="s">
        <v>499</v>
      </c>
      <c r="C724">
        <v>70050001</v>
      </c>
      <c r="D724">
        <v>100966076</v>
      </c>
      <c r="E724" t="s">
        <v>658</v>
      </c>
      <c r="F724" t="s">
        <v>135</v>
      </c>
      <c r="G724" t="s">
        <v>501</v>
      </c>
    </row>
    <row r="725" spans="1:7" x14ac:dyDescent="0.3">
      <c r="A725" t="s">
        <v>659</v>
      </c>
      <c r="B725" t="s">
        <v>499</v>
      </c>
      <c r="C725">
        <v>70050001</v>
      </c>
      <c r="D725">
        <v>100318874</v>
      </c>
      <c r="E725" t="s">
        <v>660</v>
      </c>
      <c r="F725" t="s">
        <v>135</v>
      </c>
      <c r="G725" t="s">
        <v>501</v>
      </c>
    </row>
    <row r="726" spans="1:7" x14ac:dyDescent="0.3">
      <c r="A726" t="s">
        <v>661</v>
      </c>
      <c r="B726" t="s">
        <v>499</v>
      </c>
      <c r="C726">
        <v>70050001</v>
      </c>
      <c r="D726">
        <v>101128821</v>
      </c>
      <c r="E726" t="s">
        <v>662</v>
      </c>
      <c r="F726" t="s">
        <v>135</v>
      </c>
      <c r="G726" t="s">
        <v>501</v>
      </c>
    </row>
    <row r="727" spans="1:7" x14ac:dyDescent="0.3">
      <c r="A727" t="s">
        <v>663</v>
      </c>
      <c r="B727" t="s">
        <v>499</v>
      </c>
      <c r="C727">
        <v>70050001</v>
      </c>
      <c r="D727">
        <v>100965619</v>
      </c>
      <c r="E727" t="s">
        <v>664</v>
      </c>
      <c r="F727" t="s">
        <v>135</v>
      </c>
      <c r="G727" t="s">
        <v>501</v>
      </c>
    </row>
    <row r="728" spans="1:7" x14ac:dyDescent="0.3">
      <c r="A728" t="s">
        <v>665</v>
      </c>
      <c r="B728" t="s">
        <v>499</v>
      </c>
      <c r="C728">
        <v>70050001</v>
      </c>
      <c r="D728">
        <v>100965620</v>
      </c>
      <c r="E728" t="s">
        <v>666</v>
      </c>
      <c r="F728" t="s">
        <v>667</v>
      </c>
      <c r="G728" t="s">
        <v>501</v>
      </c>
    </row>
    <row r="729" spans="1:7" x14ac:dyDescent="0.3">
      <c r="A729" t="s">
        <v>668</v>
      </c>
      <c r="B729" t="s">
        <v>499</v>
      </c>
      <c r="C729">
        <v>70050001</v>
      </c>
      <c r="D729">
        <v>101042659</v>
      </c>
      <c r="E729" t="s">
        <v>669</v>
      </c>
      <c r="F729" t="s">
        <v>135</v>
      </c>
      <c r="G729" t="s">
        <v>501</v>
      </c>
    </row>
    <row r="730" spans="1:7" x14ac:dyDescent="0.3">
      <c r="A730" t="s">
        <v>670</v>
      </c>
      <c r="B730" t="s">
        <v>499</v>
      </c>
      <c r="C730">
        <v>70050001</v>
      </c>
      <c r="D730">
        <v>100965621</v>
      </c>
      <c r="E730" t="s">
        <v>671</v>
      </c>
      <c r="F730" t="s">
        <v>135</v>
      </c>
      <c r="G730" t="s">
        <v>501</v>
      </c>
    </row>
    <row r="731" spans="1:7" x14ac:dyDescent="0.3">
      <c r="A731" t="s">
        <v>672</v>
      </c>
      <c r="B731" t="s">
        <v>499</v>
      </c>
      <c r="C731">
        <v>70050001</v>
      </c>
      <c r="D731">
        <v>100278838</v>
      </c>
      <c r="E731" t="s">
        <v>673</v>
      </c>
      <c r="F731" t="s">
        <v>135</v>
      </c>
      <c r="G731" t="s">
        <v>501</v>
      </c>
    </row>
    <row r="732" spans="1:7" x14ac:dyDescent="0.3">
      <c r="A732" t="s">
        <v>674</v>
      </c>
      <c r="B732" t="s">
        <v>499</v>
      </c>
      <c r="C732">
        <v>70050001</v>
      </c>
      <c r="D732">
        <v>101220254</v>
      </c>
      <c r="E732" t="s">
        <v>675</v>
      </c>
      <c r="F732" t="s">
        <v>135</v>
      </c>
      <c r="G732" t="s">
        <v>501</v>
      </c>
    </row>
    <row r="733" spans="1:7" x14ac:dyDescent="0.3">
      <c r="A733" t="s">
        <v>676</v>
      </c>
      <c r="B733" t="s">
        <v>499</v>
      </c>
      <c r="C733">
        <v>70050001</v>
      </c>
      <c r="D733">
        <v>101028714</v>
      </c>
      <c r="E733" t="s">
        <v>677</v>
      </c>
      <c r="F733" t="s">
        <v>135</v>
      </c>
      <c r="G733" t="s">
        <v>501</v>
      </c>
    </row>
    <row r="734" spans="1:7" x14ac:dyDescent="0.3">
      <c r="A734" t="s">
        <v>678</v>
      </c>
      <c r="B734" t="s">
        <v>499</v>
      </c>
      <c r="C734">
        <v>70050001</v>
      </c>
      <c r="D734">
        <v>101170407</v>
      </c>
      <c r="E734" t="s">
        <v>679</v>
      </c>
      <c r="F734" t="s">
        <v>135</v>
      </c>
      <c r="G734" t="s">
        <v>501</v>
      </c>
    </row>
    <row r="735" spans="1:7" x14ac:dyDescent="0.3">
      <c r="A735" t="s">
        <v>680</v>
      </c>
      <c r="B735" t="s">
        <v>499</v>
      </c>
      <c r="C735">
        <v>70050001</v>
      </c>
      <c r="D735">
        <v>101364656</v>
      </c>
      <c r="E735" t="s">
        <v>681</v>
      </c>
      <c r="F735" t="s">
        <v>135</v>
      </c>
      <c r="G735" t="s">
        <v>501</v>
      </c>
    </row>
    <row r="736" spans="1:7" x14ac:dyDescent="0.3">
      <c r="A736" t="s">
        <v>682</v>
      </c>
      <c r="B736" t="s">
        <v>499</v>
      </c>
      <c r="C736">
        <v>70050001</v>
      </c>
      <c r="D736">
        <v>101329589</v>
      </c>
      <c r="E736" t="s">
        <v>683</v>
      </c>
      <c r="F736" t="s">
        <v>135</v>
      </c>
      <c r="G736" t="s">
        <v>501</v>
      </c>
    </row>
    <row r="737" spans="1:7" x14ac:dyDescent="0.3">
      <c r="A737" t="s">
        <v>684</v>
      </c>
      <c r="B737" t="s">
        <v>499</v>
      </c>
      <c r="C737">
        <v>70050001</v>
      </c>
      <c r="D737">
        <v>100991665</v>
      </c>
      <c r="E737" t="s">
        <v>685</v>
      </c>
      <c r="F737" t="s">
        <v>135</v>
      </c>
      <c r="G737" t="s">
        <v>501</v>
      </c>
    </row>
    <row r="738" spans="1:7" x14ac:dyDescent="0.3">
      <c r="A738" t="s">
        <v>686</v>
      </c>
      <c r="B738" t="s">
        <v>499</v>
      </c>
      <c r="C738">
        <v>70050001</v>
      </c>
      <c r="D738">
        <v>100966077</v>
      </c>
      <c r="E738" t="s">
        <v>687</v>
      </c>
      <c r="F738" t="s">
        <v>135</v>
      </c>
      <c r="G738" t="s">
        <v>501</v>
      </c>
    </row>
    <row r="739" spans="1:7" x14ac:dyDescent="0.3">
      <c r="A739" t="s">
        <v>688</v>
      </c>
      <c r="B739" t="s">
        <v>499</v>
      </c>
      <c r="C739">
        <v>70050001</v>
      </c>
      <c r="D739">
        <v>101242102</v>
      </c>
      <c r="E739" t="s">
        <v>689</v>
      </c>
      <c r="F739" t="s">
        <v>135</v>
      </c>
      <c r="G739" t="s">
        <v>501</v>
      </c>
    </row>
    <row r="740" spans="1:7" x14ac:dyDescent="0.3">
      <c r="A740" t="s">
        <v>690</v>
      </c>
      <c r="B740" t="s">
        <v>499</v>
      </c>
      <c r="C740">
        <v>70050001</v>
      </c>
      <c r="D740">
        <v>100965684</v>
      </c>
      <c r="E740" t="s">
        <v>691</v>
      </c>
      <c r="F740" t="s">
        <v>135</v>
      </c>
      <c r="G740" t="s">
        <v>501</v>
      </c>
    </row>
    <row r="741" spans="1:7" x14ac:dyDescent="0.3">
      <c r="A741" t="s">
        <v>692</v>
      </c>
      <c r="B741" t="s">
        <v>499</v>
      </c>
      <c r="C741">
        <v>70050001</v>
      </c>
      <c r="D741">
        <v>101332925</v>
      </c>
      <c r="E741" t="s">
        <v>693</v>
      </c>
      <c r="F741" t="s">
        <v>135</v>
      </c>
      <c r="G741" t="s">
        <v>501</v>
      </c>
    </row>
    <row r="742" spans="1:7" x14ac:dyDescent="0.3">
      <c r="A742" t="s">
        <v>694</v>
      </c>
      <c r="B742" t="s">
        <v>499</v>
      </c>
      <c r="C742">
        <v>70050001</v>
      </c>
      <c r="D742">
        <v>100324682</v>
      </c>
      <c r="E742" t="s">
        <v>695</v>
      </c>
      <c r="F742" t="s">
        <v>135</v>
      </c>
      <c r="G742" t="s">
        <v>501</v>
      </c>
    </row>
    <row r="743" spans="1:7" x14ac:dyDescent="0.3">
      <c r="A743" t="s">
        <v>696</v>
      </c>
      <c r="B743" t="s">
        <v>499</v>
      </c>
      <c r="C743">
        <v>70050001</v>
      </c>
      <c r="D743">
        <v>100513397</v>
      </c>
      <c r="E743" t="s">
        <v>697</v>
      </c>
      <c r="F743" t="s">
        <v>698</v>
      </c>
      <c r="G743" t="s">
        <v>501</v>
      </c>
    </row>
    <row r="744" spans="1:7" x14ac:dyDescent="0.3">
      <c r="A744" t="s">
        <v>699</v>
      </c>
      <c r="B744" t="s">
        <v>499</v>
      </c>
      <c r="C744">
        <v>70050001</v>
      </c>
      <c r="D744">
        <v>100965874</v>
      </c>
      <c r="E744" t="s">
        <v>700</v>
      </c>
      <c r="F744" t="s">
        <v>701</v>
      </c>
      <c r="G744" t="s">
        <v>501</v>
      </c>
    </row>
    <row r="745" spans="1:7" x14ac:dyDescent="0.3">
      <c r="A745" t="s">
        <v>702</v>
      </c>
      <c r="B745" t="s">
        <v>499</v>
      </c>
      <c r="C745">
        <v>70050001</v>
      </c>
      <c r="D745">
        <v>100933966</v>
      </c>
      <c r="E745" t="s">
        <v>703</v>
      </c>
      <c r="F745" t="s">
        <v>135</v>
      </c>
      <c r="G745" t="s">
        <v>501</v>
      </c>
    </row>
    <row r="746" spans="1:7" x14ac:dyDescent="0.3">
      <c r="A746" t="s">
        <v>704</v>
      </c>
      <c r="B746" t="s">
        <v>499</v>
      </c>
      <c r="C746">
        <v>70050001</v>
      </c>
      <c r="D746">
        <v>100559442</v>
      </c>
      <c r="E746" t="s">
        <v>705</v>
      </c>
      <c r="F746" t="s">
        <v>135</v>
      </c>
      <c r="G746" t="s">
        <v>501</v>
      </c>
    </row>
    <row r="747" spans="1:7" x14ac:dyDescent="0.3">
      <c r="A747" t="s">
        <v>706</v>
      </c>
      <c r="B747" t="s">
        <v>499</v>
      </c>
      <c r="C747">
        <v>70050001</v>
      </c>
      <c r="D747">
        <v>100966079</v>
      </c>
      <c r="E747" t="s">
        <v>707</v>
      </c>
      <c r="F747" t="s">
        <v>135</v>
      </c>
      <c r="G747" t="s">
        <v>501</v>
      </c>
    </row>
    <row r="748" spans="1:7" x14ac:dyDescent="0.3">
      <c r="A748" t="s">
        <v>708</v>
      </c>
      <c r="B748" t="s">
        <v>499</v>
      </c>
      <c r="C748">
        <v>70050001</v>
      </c>
      <c r="D748">
        <v>101355152</v>
      </c>
      <c r="E748" t="s">
        <v>709</v>
      </c>
      <c r="F748" t="s">
        <v>135</v>
      </c>
      <c r="G748" t="s">
        <v>501</v>
      </c>
    </row>
    <row r="749" spans="1:7" x14ac:dyDescent="0.3">
      <c r="A749" t="s">
        <v>710</v>
      </c>
      <c r="B749" t="s">
        <v>499</v>
      </c>
      <c r="C749">
        <v>70050001</v>
      </c>
      <c r="D749">
        <v>101347450</v>
      </c>
      <c r="E749" t="s">
        <v>711</v>
      </c>
      <c r="F749" t="s">
        <v>135</v>
      </c>
      <c r="G749" t="s">
        <v>501</v>
      </c>
    </row>
    <row r="750" spans="1:7" x14ac:dyDescent="0.3">
      <c r="A750" t="s">
        <v>712</v>
      </c>
      <c r="B750" t="s">
        <v>499</v>
      </c>
      <c r="C750">
        <v>70050001</v>
      </c>
      <c r="D750">
        <v>100323838</v>
      </c>
      <c r="E750" t="s">
        <v>713</v>
      </c>
      <c r="F750" t="s">
        <v>135</v>
      </c>
      <c r="G750" t="s">
        <v>501</v>
      </c>
    </row>
    <row r="751" spans="1:7" x14ac:dyDescent="0.3">
      <c r="A751" t="s">
        <v>714</v>
      </c>
      <c r="B751" t="s">
        <v>499</v>
      </c>
      <c r="C751">
        <v>70050001</v>
      </c>
      <c r="D751">
        <v>101089054</v>
      </c>
      <c r="E751" t="s">
        <v>715</v>
      </c>
      <c r="F751" t="s">
        <v>135</v>
      </c>
      <c r="G751" t="s">
        <v>501</v>
      </c>
    </row>
    <row r="752" spans="1:7" x14ac:dyDescent="0.3">
      <c r="A752" t="s">
        <v>716</v>
      </c>
      <c r="B752" t="s">
        <v>499</v>
      </c>
      <c r="C752">
        <v>70050001</v>
      </c>
      <c r="D752">
        <v>100416329</v>
      </c>
      <c r="E752" t="s">
        <v>717</v>
      </c>
      <c r="F752" t="s">
        <v>135</v>
      </c>
      <c r="G752" t="s">
        <v>501</v>
      </c>
    </row>
    <row r="753" spans="1:7" x14ac:dyDescent="0.3">
      <c r="A753" t="s">
        <v>718</v>
      </c>
      <c r="B753" t="s">
        <v>499</v>
      </c>
      <c r="C753">
        <v>70050001</v>
      </c>
      <c r="D753">
        <v>101290572</v>
      </c>
      <c r="E753" t="s">
        <v>719</v>
      </c>
      <c r="F753" t="s">
        <v>135</v>
      </c>
      <c r="G753" t="s">
        <v>501</v>
      </c>
    </row>
    <row r="754" spans="1:7" x14ac:dyDescent="0.3">
      <c r="A754" t="s">
        <v>720</v>
      </c>
      <c r="B754" t="s">
        <v>499</v>
      </c>
      <c r="C754">
        <v>70050001</v>
      </c>
      <c r="D754">
        <v>100933335</v>
      </c>
      <c r="E754" t="s">
        <v>721</v>
      </c>
      <c r="F754" t="s">
        <v>722</v>
      </c>
      <c r="G754" t="s">
        <v>501</v>
      </c>
    </row>
    <row r="755" spans="1:7" x14ac:dyDescent="0.3">
      <c r="A755" t="s">
        <v>723</v>
      </c>
      <c r="B755" t="s">
        <v>499</v>
      </c>
      <c r="C755">
        <v>70050001</v>
      </c>
      <c r="D755">
        <v>100965876</v>
      </c>
      <c r="E755" t="s">
        <v>724</v>
      </c>
      <c r="F755" t="s">
        <v>725</v>
      </c>
      <c r="G755" t="s">
        <v>501</v>
      </c>
    </row>
    <row r="756" spans="1:7" x14ac:dyDescent="0.3">
      <c r="A756" t="s">
        <v>726</v>
      </c>
      <c r="B756" t="s">
        <v>499</v>
      </c>
      <c r="C756">
        <v>70050001</v>
      </c>
      <c r="D756">
        <v>100965878</v>
      </c>
      <c r="E756" t="s">
        <v>727</v>
      </c>
      <c r="F756" t="s">
        <v>135</v>
      </c>
      <c r="G756" t="s">
        <v>501</v>
      </c>
    </row>
    <row r="757" spans="1:7" x14ac:dyDescent="0.3">
      <c r="A757" t="s">
        <v>728</v>
      </c>
      <c r="B757" t="s">
        <v>499</v>
      </c>
      <c r="C757">
        <v>70050001</v>
      </c>
      <c r="D757">
        <v>100965879</v>
      </c>
      <c r="E757" t="s">
        <v>729</v>
      </c>
      <c r="F757" t="s">
        <v>135</v>
      </c>
      <c r="G757" t="s">
        <v>501</v>
      </c>
    </row>
    <row r="758" spans="1:7" x14ac:dyDescent="0.3">
      <c r="A758" t="s">
        <v>730</v>
      </c>
      <c r="B758" t="s">
        <v>499</v>
      </c>
      <c r="C758">
        <v>70050001</v>
      </c>
      <c r="D758">
        <v>100965877</v>
      </c>
      <c r="E758" t="s">
        <v>731</v>
      </c>
      <c r="F758" t="s">
        <v>732</v>
      </c>
      <c r="G758" t="s">
        <v>501</v>
      </c>
    </row>
    <row r="759" spans="1:7" x14ac:dyDescent="0.3">
      <c r="A759" t="s">
        <v>733</v>
      </c>
      <c r="B759" t="s">
        <v>499</v>
      </c>
      <c r="C759">
        <v>70050001</v>
      </c>
      <c r="D759">
        <v>100965880</v>
      </c>
      <c r="E759" t="s">
        <v>734</v>
      </c>
      <c r="F759" t="s">
        <v>135</v>
      </c>
      <c r="G759" t="s">
        <v>501</v>
      </c>
    </row>
    <row r="760" spans="1:7" x14ac:dyDescent="0.3">
      <c r="A760" t="s">
        <v>735</v>
      </c>
      <c r="B760" t="s">
        <v>499</v>
      </c>
      <c r="C760">
        <v>70050001</v>
      </c>
      <c r="D760">
        <v>100965881</v>
      </c>
      <c r="E760" t="s">
        <v>736</v>
      </c>
      <c r="F760" t="s">
        <v>737</v>
      </c>
      <c r="G760" t="s">
        <v>501</v>
      </c>
    </row>
    <row r="761" spans="1:7" x14ac:dyDescent="0.3">
      <c r="A761" t="s">
        <v>738</v>
      </c>
      <c r="B761" t="s">
        <v>499</v>
      </c>
      <c r="C761">
        <v>70050001</v>
      </c>
      <c r="D761">
        <v>100965882</v>
      </c>
      <c r="E761" t="s">
        <v>739</v>
      </c>
      <c r="F761" t="s">
        <v>740</v>
      </c>
      <c r="G761" t="s">
        <v>501</v>
      </c>
    </row>
    <row r="762" spans="1:7" x14ac:dyDescent="0.3">
      <c r="A762" t="s">
        <v>741</v>
      </c>
      <c r="B762" t="s">
        <v>499</v>
      </c>
      <c r="C762">
        <v>70050001</v>
      </c>
      <c r="D762">
        <v>100320336</v>
      </c>
      <c r="E762" t="s">
        <v>742</v>
      </c>
      <c r="F762" t="s">
        <v>135</v>
      </c>
      <c r="G762" t="s">
        <v>501</v>
      </c>
    </row>
    <row r="763" spans="1:7" x14ac:dyDescent="0.3">
      <c r="A763" t="s">
        <v>743</v>
      </c>
      <c r="B763" t="s">
        <v>499</v>
      </c>
      <c r="C763">
        <v>70050001</v>
      </c>
      <c r="D763">
        <v>101288195</v>
      </c>
      <c r="E763" t="s">
        <v>744</v>
      </c>
      <c r="F763" t="s">
        <v>135</v>
      </c>
      <c r="G763" t="s">
        <v>501</v>
      </c>
    </row>
    <row r="764" spans="1:7" x14ac:dyDescent="0.3">
      <c r="A764" t="s">
        <v>745</v>
      </c>
      <c r="B764" t="s">
        <v>499</v>
      </c>
      <c r="C764">
        <v>70050001</v>
      </c>
      <c r="D764">
        <v>100965883</v>
      </c>
      <c r="E764" t="s">
        <v>746</v>
      </c>
      <c r="F764" t="s">
        <v>135</v>
      </c>
      <c r="G764" t="s">
        <v>501</v>
      </c>
    </row>
    <row r="765" spans="1:7" x14ac:dyDescent="0.3">
      <c r="A765" t="s">
        <v>747</v>
      </c>
      <c r="B765" t="s">
        <v>499</v>
      </c>
      <c r="C765">
        <v>70050001</v>
      </c>
      <c r="D765">
        <v>100965884</v>
      </c>
      <c r="E765" t="s">
        <v>748</v>
      </c>
      <c r="F765" t="s">
        <v>135</v>
      </c>
      <c r="G765" t="s">
        <v>501</v>
      </c>
    </row>
    <row r="766" spans="1:7" x14ac:dyDescent="0.3">
      <c r="A766" t="s">
        <v>749</v>
      </c>
      <c r="B766" t="s">
        <v>499</v>
      </c>
      <c r="C766">
        <v>70050001</v>
      </c>
      <c r="D766">
        <v>100566802</v>
      </c>
      <c r="E766" t="s">
        <v>750</v>
      </c>
      <c r="F766" t="s">
        <v>135</v>
      </c>
      <c r="G766" t="s">
        <v>501</v>
      </c>
    </row>
    <row r="767" spans="1:7" x14ac:dyDescent="0.3">
      <c r="A767" t="s">
        <v>751</v>
      </c>
      <c r="B767" t="s">
        <v>499</v>
      </c>
      <c r="C767">
        <v>70050001</v>
      </c>
      <c r="D767">
        <v>100965885</v>
      </c>
      <c r="E767" t="s">
        <v>752</v>
      </c>
      <c r="F767" t="s">
        <v>753</v>
      </c>
      <c r="G767" t="s">
        <v>501</v>
      </c>
    </row>
    <row r="768" spans="1:7" x14ac:dyDescent="0.3">
      <c r="A768" t="s">
        <v>754</v>
      </c>
      <c r="B768" t="s">
        <v>499</v>
      </c>
      <c r="C768">
        <v>70050001</v>
      </c>
      <c r="D768">
        <v>100965886</v>
      </c>
      <c r="E768" t="s">
        <v>755</v>
      </c>
      <c r="F768" t="s">
        <v>135</v>
      </c>
      <c r="G768" t="s">
        <v>501</v>
      </c>
    </row>
    <row r="769" spans="1:7" x14ac:dyDescent="0.3">
      <c r="A769" t="s">
        <v>756</v>
      </c>
      <c r="B769" t="s">
        <v>499</v>
      </c>
      <c r="C769">
        <v>70050001</v>
      </c>
      <c r="D769">
        <v>100966082</v>
      </c>
      <c r="E769" t="s">
        <v>757</v>
      </c>
      <c r="F769" t="s">
        <v>135</v>
      </c>
      <c r="G769" t="s">
        <v>501</v>
      </c>
    </row>
    <row r="770" spans="1:7" x14ac:dyDescent="0.3">
      <c r="A770" t="s">
        <v>758</v>
      </c>
      <c r="B770" t="s">
        <v>499</v>
      </c>
      <c r="C770">
        <v>70050001</v>
      </c>
      <c r="D770">
        <v>100278839</v>
      </c>
      <c r="E770" t="s">
        <v>759</v>
      </c>
      <c r="F770" t="s">
        <v>135</v>
      </c>
      <c r="G770" t="s">
        <v>501</v>
      </c>
    </row>
    <row r="771" spans="1:7" x14ac:dyDescent="0.3">
      <c r="A771" t="s">
        <v>760</v>
      </c>
      <c r="B771" t="s">
        <v>499</v>
      </c>
      <c r="C771">
        <v>70050001</v>
      </c>
      <c r="D771">
        <v>100966083</v>
      </c>
      <c r="E771" t="s">
        <v>761</v>
      </c>
      <c r="F771" t="s">
        <v>135</v>
      </c>
      <c r="G771" t="s">
        <v>501</v>
      </c>
    </row>
    <row r="772" spans="1:7" x14ac:dyDescent="0.3">
      <c r="A772" t="s">
        <v>762</v>
      </c>
      <c r="B772" t="s">
        <v>499</v>
      </c>
      <c r="C772">
        <v>70050001</v>
      </c>
      <c r="D772">
        <v>100966084</v>
      </c>
      <c r="E772" t="s">
        <v>135</v>
      </c>
      <c r="F772" t="s">
        <v>135</v>
      </c>
      <c r="G772" t="s">
        <v>501</v>
      </c>
    </row>
    <row r="773" spans="1:7" x14ac:dyDescent="0.3">
      <c r="A773" t="s">
        <v>763</v>
      </c>
      <c r="B773" t="s">
        <v>499</v>
      </c>
      <c r="C773">
        <v>70050001</v>
      </c>
      <c r="D773">
        <v>100965887</v>
      </c>
      <c r="E773" t="s">
        <v>764</v>
      </c>
      <c r="F773" t="s">
        <v>135</v>
      </c>
      <c r="G773" t="s">
        <v>501</v>
      </c>
    </row>
    <row r="774" spans="1:7" x14ac:dyDescent="0.3">
      <c r="A774" t="s">
        <v>765</v>
      </c>
      <c r="B774" t="s">
        <v>499</v>
      </c>
      <c r="C774">
        <v>70050001</v>
      </c>
      <c r="D774">
        <v>101093896</v>
      </c>
      <c r="E774" t="s">
        <v>135</v>
      </c>
      <c r="F774" t="s">
        <v>135</v>
      </c>
      <c r="G774" t="s">
        <v>501</v>
      </c>
    </row>
    <row r="775" spans="1:7" x14ac:dyDescent="0.3">
      <c r="A775" t="s">
        <v>766</v>
      </c>
      <c r="B775" t="s">
        <v>499</v>
      </c>
      <c r="C775">
        <v>70050001</v>
      </c>
      <c r="D775">
        <v>100966062</v>
      </c>
      <c r="E775" t="s">
        <v>767</v>
      </c>
      <c r="F775" t="s">
        <v>135</v>
      </c>
      <c r="G775" t="s">
        <v>501</v>
      </c>
    </row>
    <row r="776" spans="1:7" x14ac:dyDescent="0.3">
      <c r="A776" t="s">
        <v>768</v>
      </c>
      <c r="B776" t="s">
        <v>499</v>
      </c>
      <c r="C776">
        <v>70050001</v>
      </c>
      <c r="D776">
        <v>100965888</v>
      </c>
      <c r="E776" t="s">
        <v>769</v>
      </c>
      <c r="F776" t="s">
        <v>135</v>
      </c>
      <c r="G776" t="s">
        <v>501</v>
      </c>
    </row>
    <row r="777" spans="1:7" x14ac:dyDescent="0.3">
      <c r="A777" t="s">
        <v>770</v>
      </c>
      <c r="B777" t="s">
        <v>499</v>
      </c>
      <c r="C777">
        <v>70050001</v>
      </c>
      <c r="D777">
        <v>101372624</v>
      </c>
      <c r="E777" t="s">
        <v>771</v>
      </c>
      <c r="F777" t="s">
        <v>135</v>
      </c>
      <c r="G777" t="s">
        <v>501</v>
      </c>
    </row>
    <row r="778" spans="1:7" x14ac:dyDescent="0.3">
      <c r="A778" t="s">
        <v>772</v>
      </c>
      <c r="B778" t="s">
        <v>499</v>
      </c>
      <c r="C778">
        <v>70050001</v>
      </c>
      <c r="D778">
        <v>101336680</v>
      </c>
      <c r="E778" t="s">
        <v>773</v>
      </c>
      <c r="F778" t="s">
        <v>135</v>
      </c>
      <c r="G778" t="s">
        <v>501</v>
      </c>
    </row>
    <row r="779" spans="1:7" x14ac:dyDescent="0.3">
      <c r="A779" t="s">
        <v>774</v>
      </c>
      <c r="B779" t="s">
        <v>499</v>
      </c>
      <c r="C779">
        <v>70050001</v>
      </c>
      <c r="D779">
        <v>100966086</v>
      </c>
      <c r="E779" t="s">
        <v>775</v>
      </c>
      <c r="F779" t="s">
        <v>135</v>
      </c>
      <c r="G779" t="s">
        <v>501</v>
      </c>
    </row>
    <row r="780" spans="1:7" x14ac:dyDescent="0.3">
      <c r="A780" t="s">
        <v>776</v>
      </c>
      <c r="B780" t="s">
        <v>499</v>
      </c>
      <c r="C780">
        <v>70050001</v>
      </c>
      <c r="D780">
        <v>100965855</v>
      </c>
      <c r="E780" t="s">
        <v>777</v>
      </c>
      <c r="F780" t="s">
        <v>135</v>
      </c>
      <c r="G780" t="s">
        <v>501</v>
      </c>
    </row>
    <row r="781" spans="1:7" x14ac:dyDescent="0.3">
      <c r="A781" t="s">
        <v>778</v>
      </c>
      <c r="B781" t="s">
        <v>499</v>
      </c>
      <c r="C781">
        <v>70050001</v>
      </c>
      <c r="D781">
        <v>100944359</v>
      </c>
      <c r="E781" t="s">
        <v>779</v>
      </c>
      <c r="F781" t="s">
        <v>135</v>
      </c>
      <c r="G781" t="s">
        <v>501</v>
      </c>
    </row>
    <row r="782" spans="1:7" x14ac:dyDescent="0.3">
      <c r="A782" t="s">
        <v>780</v>
      </c>
      <c r="B782" t="s">
        <v>499</v>
      </c>
      <c r="C782">
        <v>70050001</v>
      </c>
      <c r="D782">
        <v>100965889</v>
      </c>
      <c r="E782" t="s">
        <v>781</v>
      </c>
      <c r="F782" t="s">
        <v>135</v>
      </c>
      <c r="G782" t="s">
        <v>501</v>
      </c>
    </row>
    <row r="783" spans="1:7" x14ac:dyDescent="0.3">
      <c r="A783" t="s">
        <v>782</v>
      </c>
      <c r="B783" t="s">
        <v>499</v>
      </c>
      <c r="C783">
        <v>70050001</v>
      </c>
      <c r="D783">
        <v>100926473</v>
      </c>
      <c r="E783" t="s">
        <v>783</v>
      </c>
      <c r="F783" t="s">
        <v>135</v>
      </c>
      <c r="G783" t="s">
        <v>501</v>
      </c>
    </row>
    <row r="784" spans="1:7" x14ac:dyDescent="0.3">
      <c r="A784" t="s">
        <v>784</v>
      </c>
      <c r="B784" t="s">
        <v>499</v>
      </c>
      <c r="C784">
        <v>70050001</v>
      </c>
      <c r="D784">
        <v>101336681</v>
      </c>
      <c r="E784" t="s">
        <v>785</v>
      </c>
      <c r="F784" t="s">
        <v>786</v>
      </c>
      <c r="G784" t="s">
        <v>501</v>
      </c>
    </row>
    <row r="785" spans="1:13" x14ac:dyDescent="0.3">
      <c r="A785" t="s">
        <v>787</v>
      </c>
      <c r="B785" t="s">
        <v>499</v>
      </c>
      <c r="C785">
        <v>70050001</v>
      </c>
      <c r="D785">
        <v>101088313</v>
      </c>
      <c r="E785" t="s">
        <v>788</v>
      </c>
      <c r="F785" t="s">
        <v>135</v>
      </c>
      <c r="G785" t="s">
        <v>501</v>
      </c>
    </row>
    <row r="786" spans="1:13" x14ac:dyDescent="0.3">
      <c r="A786" t="s">
        <v>789</v>
      </c>
      <c r="B786" t="s">
        <v>499</v>
      </c>
      <c r="C786">
        <v>70050001</v>
      </c>
      <c r="D786">
        <v>100966089</v>
      </c>
      <c r="E786" t="s">
        <v>790</v>
      </c>
      <c r="F786" t="s">
        <v>135</v>
      </c>
      <c r="G786" t="s">
        <v>501</v>
      </c>
    </row>
    <row r="787" spans="1:13" x14ac:dyDescent="0.3">
      <c r="A787" t="s">
        <v>791</v>
      </c>
      <c r="B787" t="s">
        <v>499</v>
      </c>
      <c r="C787">
        <v>70050001</v>
      </c>
      <c r="D787">
        <v>100965890</v>
      </c>
      <c r="E787" t="s">
        <v>792</v>
      </c>
      <c r="F787" t="s">
        <v>135</v>
      </c>
      <c r="G787" t="s">
        <v>501</v>
      </c>
    </row>
    <row r="788" spans="1:13" x14ac:dyDescent="0.3">
      <c r="A788" t="s">
        <v>861</v>
      </c>
      <c r="B788" t="s">
        <v>862</v>
      </c>
      <c r="C788">
        <v>7504883</v>
      </c>
      <c r="D788">
        <v>101387386</v>
      </c>
      <c r="E788" t="s">
        <v>863</v>
      </c>
      <c r="F788" t="s">
        <v>135</v>
      </c>
      <c r="G788" t="s">
        <v>864</v>
      </c>
      <c r="I788" t="s">
        <v>1125</v>
      </c>
      <c r="J788" t="s">
        <v>1126</v>
      </c>
    </row>
    <row r="789" spans="1:13" x14ac:dyDescent="0.3">
      <c r="A789" t="s">
        <v>865</v>
      </c>
      <c r="B789" t="s">
        <v>862</v>
      </c>
      <c r="C789">
        <v>7504883</v>
      </c>
      <c r="D789">
        <v>101387388</v>
      </c>
      <c r="E789" t="s">
        <v>866</v>
      </c>
      <c r="F789" t="s">
        <v>135</v>
      </c>
      <c r="G789" t="s">
        <v>864</v>
      </c>
      <c r="I789" t="s">
        <v>1127</v>
      </c>
      <c r="J789" t="s">
        <v>1128</v>
      </c>
    </row>
    <row r="790" spans="1:13" x14ac:dyDescent="0.3">
      <c r="A790" t="s">
        <v>101</v>
      </c>
      <c r="B790" t="s">
        <v>862</v>
      </c>
      <c r="C790">
        <v>7504883</v>
      </c>
      <c r="D790">
        <v>101387387</v>
      </c>
      <c r="E790" t="s">
        <v>867</v>
      </c>
      <c r="F790" t="s">
        <v>135</v>
      </c>
      <c r="G790" t="s">
        <v>864</v>
      </c>
      <c r="I790" t="s">
        <v>1129</v>
      </c>
      <c r="J790" t="s">
        <v>1130</v>
      </c>
    </row>
    <row r="791" spans="1:13" x14ac:dyDescent="0.3">
      <c r="A791" t="s">
        <v>2542</v>
      </c>
      <c r="B791" t="s">
        <v>2105</v>
      </c>
      <c r="C791">
        <v>7498617</v>
      </c>
      <c r="D791">
        <v>120171894</v>
      </c>
      <c r="E791" t="s">
        <v>2543</v>
      </c>
      <c r="G791" t="s">
        <v>2198</v>
      </c>
      <c r="H791" t="s">
        <v>1141</v>
      </c>
      <c r="I791" t="s">
        <v>2544</v>
      </c>
    </row>
    <row r="792" spans="1:13" x14ac:dyDescent="0.3">
      <c r="A792" t="s">
        <v>266</v>
      </c>
      <c r="B792" t="s">
        <v>2105</v>
      </c>
      <c r="C792">
        <v>7498617</v>
      </c>
      <c r="D792">
        <v>101059039</v>
      </c>
      <c r="E792" t="s">
        <v>268</v>
      </c>
      <c r="G792" t="s">
        <v>2198</v>
      </c>
      <c r="H792" t="s">
        <v>2545</v>
      </c>
      <c r="I792" t="s">
        <v>2424</v>
      </c>
      <c r="L792" t="s">
        <v>2546</v>
      </c>
    </row>
    <row r="793" spans="1:13" x14ac:dyDescent="0.3">
      <c r="A793" s="13" t="s">
        <v>67</v>
      </c>
      <c r="B793" s="13" t="s">
        <v>68</v>
      </c>
      <c r="C793" s="13">
        <v>7477816</v>
      </c>
      <c r="D793" s="13">
        <v>101253650</v>
      </c>
      <c r="J793" s="13"/>
      <c r="K793" s="13"/>
      <c r="L793" s="13"/>
      <c r="M793" s="13"/>
    </row>
    <row r="794" spans="1:13" x14ac:dyDescent="0.3">
      <c r="A794" t="s">
        <v>2979</v>
      </c>
      <c r="B794" t="s">
        <v>2980</v>
      </c>
      <c r="C794">
        <v>7468017</v>
      </c>
      <c r="D794">
        <v>120172608</v>
      </c>
      <c r="E794" t="s">
        <v>2981</v>
      </c>
      <c r="G794" t="s">
        <v>2198</v>
      </c>
      <c r="H794" t="s">
        <v>2982</v>
      </c>
      <c r="I794" t="s">
        <v>2983</v>
      </c>
    </row>
    <row r="795" spans="1:13" x14ac:dyDescent="0.3">
      <c r="A795" t="s">
        <v>2984</v>
      </c>
      <c r="B795" t="s">
        <v>2980</v>
      </c>
      <c r="C795">
        <v>7468017</v>
      </c>
      <c r="D795">
        <v>120172607</v>
      </c>
      <c r="E795" t="s">
        <v>2985</v>
      </c>
      <c r="G795" t="s">
        <v>2198</v>
      </c>
      <c r="H795" t="s">
        <v>2986</v>
      </c>
      <c r="I795" t="s">
        <v>2983</v>
      </c>
    </row>
    <row r="796" spans="1:13" x14ac:dyDescent="0.3">
      <c r="A796" t="s">
        <v>2987</v>
      </c>
      <c r="B796" t="s">
        <v>2980</v>
      </c>
      <c r="C796">
        <v>7468017</v>
      </c>
      <c r="D796">
        <v>120172609</v>
      </c>
      <c r="E796" t="s">
        <v>2988</v>
      </c>
      <c r="G796" t="s">
        <v>2198</v>
      </c>
      <c r="H796" t="s">
        <v>1135</v>
      </c>
      <c r="I796" t="s">
        <v>2989</v>
      </c>
    </row>
    <row r="797" spans="1:13" x14ac:dyDescent="0.3">
      <c r="A797" t="s">
        <v>2977</v>
      </c>
      <c r="B797" t="s">
        <v>2980</v>
      </c>
      <c r="C797">
        <v>7468017</v>
      </c>
      <c r="D797">
        <v>120172630</v>
      </c>
      <c r="E797" t="s">
        <v>2990</v>
      </c>
      <c r="G797" t="s">
        <v>2198</v>
      </c>
      <c r="H797" t="s">
        <v>2406</v>
      </c>
      <c r="I797" t="s">
        <v>2991</v>
      </c>
    </row>
    <row r="798" spans="1:13" x14ac:dyDescent="0.3">
      <c r="A798" t="s">
        <v>2992</v>
      </c>
      <c r="B798" t="s">
        <v>2980</v>
      </c>
      <c r="C798">
        <v>7468017</v>
      </c>
      <c r="D798">
        <v>120043485</v>
      </c>
      <c r="E798" t="s">
        <v>2993</v>
      </c>
      <c r="F798" t="s">
        <v>2994</v>
      </c>
      <c r="G798" t="s">
        <v>2198</v>
      </c>
      <c r="H798" t="s">
        <v>1157</v>
      </c>
      <c r="I798" t="s">
        <v>2991</v>
      </c>
    </row>
    <row r="799" spans="1:13" x14ac:dyDescent="0.3">
      <c r="A799" t="s">
        <v>2978</v>
      </c>
      <c r="B799" t="s">
        <v>2980</v>
      </c>
      <c r="C799">
        <v>7468017</v>
      </c>
      <c r="D799">
        <v>120172631</v>
      </c>
      <c r="E799" t="s">
        <v>2995</v>
      </c>
      <c r="G799" t="s">
        <v>2198</v>
      </c>
      <c r="H799" t="s">
        <v>1131</v>
      </c>
      <c r="I799" t="s">
        <v>2991</v>
      </c>
    </row>
    <row r="800" spans="1:13" x14ac:dyDescent="0.3">
      <c r="A800" t="s">
        <v>1950</v>
      </c>
      <c r="C800" s="9">
        <v>507143</v>
      </c>
      <c r="E800" t="s">
        <v>1953</v>
      </c>
      <c r="H800" s="15" t="str">
        <f>IF(ISBLANK(A800),"",IFERROR(LEFT(A800,SEARCH(" ",A800)-1),""))</f>
        <v>Brian</v>
      </c>
      <c r="I800" s="15" t="str">
        <f>IF(ISBLANK(A800),"",IFERROR(RIGHT(A800,LEN(A800)-SEARCH(" ",A800)),""))</f>
        <v>Young</v>
      </c>
    </row>
    <row r="801" spans="1:13" x14ac:dyDescent="0.3">
      <c r="A801" t="s">
        <v>1952</v>
      </c>
      <c r="C801" s="9">
        <v>120168754</v>
      </c>
      <c r="D801" s="9" t="s">
        <v>1956</v>
      </c>
      <c r="E801" t="s">
        <v>1955</v>
      </c>
      <c r="H801" s="15" t="str">
        <f>IF(ISBLANK(A801),"",IFERROR(LEFT(A801,SEARCH(" ",A801)-1),""))</f>
        <v>Jeremy</v>
      </c>
      <c r="I801" s="15" t="str">
        <f>IF(ISBLANK(A801),"",IFERROR(RIGHT(A801,LEN(A801)-SEARCH(" ",A801)),""))</f>
        <v>Bracknell</v>
      </c>
    </row>
    <row r="802" spans="1:13" x14ac:dyDescent="0.3">
      <c r="A802" t="s">
        <v>3771</v>
      </c>
      <c r="B802" t="s">
        <v>3333</v>
      </c>
      <c r="D802" t="s">
        <v>3558</v>
      </c>
      <c r="E802" t="s">
        <v>3345</v>
      </c>
      <c r="H802" t="s">
        <v>2469</v>
      </c>
      <c r="I802" t="s">
        <v>1132</v>
      </c>
      <c r="L802" t="s">
        <v>3984</v>
      </c>
      <c r="M802" t="s">
        <v>3984</v>
      </c>
    </row>
    <row r="803" spans="1:13" x14ac:dyDescent="0.3">
      <c r="A803" t="s">
        <v>3772</v>
      </c>
      <c r="B803" t="s">
        <v>3333</v>
      </c>
      <c r="D803" t="s">
        <v>3559</v>
      </c>
      <c r="E803" t="s">
        <v>3346</v>
      </c>
      <c r="H803" t="s">
        <v>3047</v>
      </c>
      <c r="I803" t="s">
        <v>3048</v>
      </c>
      <c r="L803" t="s">
        <v>3985</v>
      </c>
      <c r="M803" t="s">
        <v>3985</v>
      </c>
    </row>
    <row r="804" spans="1:13" x14ac:dyDescent="0.3">
      <c r="A804" t="s">
        <v>3773</v>
      </c>
      <c r="B804" t="s">
        <v>3333</v>
      </c>
      <c r="D804" t="s">
        <v>3560</v>
      </c>
      <c r="E804" t="s">
        <v>3347</v>
      </c>
      <c r="H804" t="s">
        <v>3049</v>
      </c>
      <c r="I804" t="s">
        <v>2519</v>
      </c>
      <c r="L804" t="s">
        <v>3986</v>
      </c>
      <c r="M804" t="s">
        <v>3986</v>
      </c>
    </row>
    <row r="805" spans="1:13" x14ac:dyDescent="0.3">
      <c r="A805" t="s">
        <v>3774</v>
      </c>
      <c r="B805" t="s">
        <v>3333</v>
      </c>
      <c r="D805" t="s">
        <v>3561</v>
      </c>
      <c r="E805" t="s">
        <v>3348</v>
      </c>
      <c r="H805" t="s">
        <v>3050</v>
      </c>
      <c r="I805" t="s">
        <v>3051</v>
      </c>
      <c r="L805" t="s">
        <v>3987</v>
      </c>
      <c r="M805" t="s">
        <v>3987</v>
      </c>
    </row>
    <row r="806" spans="1:13" x14ac:dyDescent="0.3">
      <c r="A806" t="s">
        <v>3775</v>
      </c>
      <c r="B806" t="s">
        <v>3333</v>
      </c>
      <c r="D806" t="s">
        <v>3562</v>
      </c>
      <c r="E806" t="s">
        <v>3349</v>
      </c>
      <c r="H806" t="s">
        <v>3052</v>
      </c>
      <c r="I806" t="s">
        <v>3053</v>
      </c>
      <c r="L806" t="s">
        <v>3988</v>
      </c>
      <c r="M806" t="s">
        <v>3988</v>
      </c>
    </row>
    <row r="807" spans="1:13" x14ac:dyDescent="0.3">
      <c r="A807" t="s">
        <v>3776</v>
      </c>
      <c r="B807" t="s">
        <v>3333</v>
      </c>
      <c r="D807" t="s">
        <v>3563</v>
      </c>
      <c r="E807" t="s">
        <v>3350</v>
      </c>
      <c r="H807" t="s">
        <v>2425</v>
      </c>
      <c r="I807" t="s">
        <v>3054</v>
      </c>
      <c r="L807" t="s">
        <v>3989</v>
      </c>
      <c r="M807" t="s">
        <v>3989</v>
      </c>
    </row>
    <row r="808" spans="1:13" x14ac:dyDescent="0.3">
      <c r="A808" t="s">
        <v>3777</v>
      </c>
      <c r="B808" t="s">
        <v>3333</v>
      </c>
      <c r="D808" t="s">
        <v>3564</v>
      </c>
      <c r="E808" t="s">
        <v>3351</v>
      </c>
      <c r="H808" t="s">
        <v>2523</v>
      </c>
      <c r="I808" t="s">
        <v>1257</v>
      </c>
      <c r="L808" t="s">
        <v>3990</v>
      </c>
      <c r="M808" t="s">
        <v>3990</v>
      </c>
    </row>
    <row r="809" spans="1:13" x14ac:dyDescent="0.3">
      <c r="A809" t="s">
        <v>3778</v>
      </c>
      <c r="B809" t="s">
        <v>3333</v>
      </c>
      <c r="D809" t="s">
        <v>3565</v>
      </c>
      <c r="E809" t="s">
        <v>3352</v>
      </c>
      <c r="H809" t="s">
        <v>3055</v>
      </c>
      <c r="I809" t="s">
        <v>1129</v>
      </c>
      <c r="L809" t="s">
        <v>3991</v>
      </c>
      <c r="M809" t="s">
        <v>3991</v>
      </c>
    </row>
    <row r="810" spans="1:13" x14ac:dyDescent="0.3">
      <c r="A810" t="s">
        <v>3779</v>
      </c>
      <c r="B810" t="s">
        <v>3333</v>
      </c>
      <c r="D810" t="s">
        <v>3566</v>
      </c>
      <c r="E810" t="s">
        <v>3353</v>
      </c>
      <c r="H810" t="s">
        <v>3056</v>
      </c>
      <c r="I810" t="s">
        <v>3057</v>
      </c>
      <c r="L810" t="s">
        <v>3992</v>
      </c>
      <c r="M810" t="s">
        <v>3992</v>
      </c>
    </row>
    <row r="811" spans="1:13" x14ac:dyDescent="0.3">
      <c r="A811" t="s">
        <v>3780</v>
      </c>
      <c r="B811" t="s">
        <v>3333</v>
      </c>
      <c r="D811" t="s">
        <v>3567</v>
      </c>
      <c r="E811" t="s">
        <v>3354</v>
      </c>
      <c r="H811" t="s">
        <v>3058</v>
      </c>
      <c r="I811" t="s">
        <v>3059</v>
      </c>
      <c r="L811" t="s">
        <v>3993</v>
      </c>
      <c r="M811" t="s">
        <v>3993</v>
      </c>
    </row>
    <row r="812" spans="1:13" x14ac:dyDescent="0.3">
      <c r="A812" t="s">
        <v>3781</v>
      </c>
      <c r="B812" t="s">
        <v>3333</v>
      </c>
      <c r="D812" t="s">
        <v>3568</v>
      </c>
      <c r="E812" t="s">
        <v>3355</v>
      </c>
      <c r="H812" t="s">
        <v>3060</v>
      </c>
      <c r="I812" t="s">
        <v>3061</v>
      </c>
      <c r="L812" t="s">
        <v>3994</v>
      </c>
      <c r="M812" t="s">
        <v>3994</v>
      </c>
    </row>
    <row r="813" spans="1:13" x14ac:dyDescent="0.3">
      <c r="A813" t="s">
        <v>3782</v>
      </c>
      <c r="B813" t="s">
        <v>3333</v>
      </c>
      <c r="D813" t="s">
        <v>3569</v>
      </c>
      <c r="E813" t="s">
        <v>3356</v>
      </c>
      <c r="H813" t="s">
        <v>3062</v>
      </c>
      <c r="I813" t="s">
        <v>3063</v>
      </c>
      <c r="L813" t="s">
        <v>3995</v>
      </c>
      <c r="M813" t="s">
        <v>3995</v>
      </c>
    </row>
    <row r="814" spans="1:13" x14ac:dyDescent="0.3">
      <c r="A814" t="s">
        <v>3783</v>
      </c>
      <c r="B814" t="s">
        <v>3333</v>
      </c>
      <c r="D814" t="s">
        <v>3570</v>
      </c>
      <c r="E814" t="s">
        <v>3357</v>
      </c>
      <c r="H814" t="s">
        <v>3064</v>
      </c>
      <c r="I814" t="s">
        <v>3065</v>
      </c>
      <c r="L814" t="s">
        <v>3996</v>
      </c>
      <c r="M814" t="s">
        <v>3996</v>
      </c>
    </row>
    <row r="815" spans="1:13" x14ac:dyDescent="0.3">
      <c r="A815" t="s">
        <v>3784</v>
      </c>
      <c r="B815" t="s">
        <v>3333</v>
      </c>
      <c r="D815" t="s">
        <v>3571</v>
      </c>
      <c r="E815" t="s">
        <v>3358</v>
      </c>
      <c r="H815" t="s">
        <v>1226</v>
      </c>
      <c r="I815" t="s">
        <v>3066</v>
      </c>
      <c r="L815" t="s">
        <v>3997</v>
      </c>
      <c r="M815" t="s">
        <v>3997</v>
      </c>
    </row>
    <row r="816" spans="1:13" x14ac:dyDescent="0.3">
      <c r="A816" t="s">
        <v>3785</v>
      </c>
      <c r="B816" t="s">
        <v>3333</v>
      </c>
      <c r="D816" t="s">
        <v>3572</v>
      </c>
      <c r="E816" t="s">
        <v>3359</v>
      </c>
      <c r="H816" t="s">
        <v>1226</v>
      </c>
      <c r="I816" t="s">
        <v>3067</v>
      </c>
      <c r="L816" t="s">
        <v>3998</v>
      </c>
      <c r="M816" t="s">
        <v>3998</v>
      </c>
    </row>
    <row r="817" spans="1:13" x14ac:dyDescent="0.3">
      <c r="A817" t="s">
        <v>3786</v>
      </c>
      <c r="B817" t="s">
        <v>3333</v>
      </c>
      <c r="D817" t="s">
        <v>3573</v>
      </c>
      <c r="E817" t="s">
        <v>3360</v>
      </c>
      <c r="H817" t="s">
        <v>2433</v>
      </c>
      <c r="I817" t="s">
        <v>1149</v>
      </c>
      <c r="L817" t="s">
        <v>3999</v>
      </c>
      <c r="M817" t="s">
        <v>3999</v>
      </c>
    </row>
    <row r="818" spans="1:13" x14ac:dyDescent="0.3">
      <c r="A818" t="s">
        <v>3787</v>
      </c>
      <c r="B818" t="s">
        <v>3333</v>
      </c>
      <c r="D818" t="s">
        <v>3574</v>
      </c>
      <c r="E818" t="s">
        <v>3361</v>
      </c>
      <c r="H818" t="s">
        <v>3068</v>
      </c>
      <c r="I818" t="s">
        <v>3069</v>
      </c>
      <c r="L818" t="s">
        <v>4000</v>
      </c>
      <c r="M818" t="s">
        <v>4000</v>
      </c>
    </row>
    <row r="819" spans="1:13" x14ac:dyDescent="0.3">
      <c r="A819" t="s">
        <v>3788</v>
      </c>
      <c r="B819" t="s">
        <v>3333</v>
      </c>
      <c r="D819" t="s">
        <v>3575</v>
      </c>
      <c r="E819" t="s">
        <v>3362</v>
      </c>
      <c r="H819" t="s">
        <v>3064</v>
      </c>
      <c r="I819" t="s">
        <v>3070</v>
      </c>
      <c r="L819" t="s">
        <v>4001</v>
      </c>
      <c r="M819" t="s">
        <v>4001</v>
      </c>
    </row>
    <row r="820" spans="1:13" x14ac:dyDescent="0.3">
      <c r="A820" t="s">
        <v>3789</v>
      </c>
      <c r="B820" t="s">
        <v>3333</v>
      </c>
      <c r="D820" t="s">
        <v>3576</v>
      </c>
      <c r="E820" t="s">
        <v>3363</v>
      </c>
      <c r="H820" t="s">
        <v>3071</v>
      </c>
      <c r="I820" t="s">
        <v>3072</v>
      </c>
      <c r="L820" t="s">
        <v>4002</v>
      </c>
      <c r="M820" t="s">
        <v>4002</v>
      </c>
    </row>
    <row r="821" spans="1:13" x14ac:dyDescent="0.3">
      <c r="A821" t="s">
        <v>3790</v>
      </c>
      <c r="B821" t="s">
        <v>3333</v>
      </c>
      <c r="D821" t="s">
        <v>3577</v>
      </c>
      <c r="E821" t="s">
        <v>3364</v>
      </c>
      <c r="H821" t="s">
        <v>2283</v>
      </c>
      <c r="I821" t="s">
        <v>3073</v>
      </c>
      <c r="L821" t="s">
        <v>4003</v>
      </c>
      <c r="M821" t="s">
        <v>4003</v>
      </c>
    </row>
    <row r="822" spans="1:13" x14ac:dyDescent="0.3">
      <c r="A822" t="s">
        <v>3791</v>
      </c>
      <c r="B822" t="s">
        <v>3333</v>
      </c>
      <c r="D822" t="s">
        <v>3578</v>
      </c>
      <c r="E822" t="s">
        <v>3365</v>
      </c>
      <c r="H822" t="s">
        <v>3074</v>
      </c>
      <c r="I822" t="s">
        <v>3075</v>
      </c>
      <c r="L822" t="s">
        <v>4004</v>
      </c>
      <c r="M822" t="s">
        <v>4004</v>
      </c>
    </row>
    <row r="823" spans="1:13" x14ac:dyDescent="0.3">
      <c r="A823" t="s">
        <v>3792</v>
      </c>
      <c r="B823" t="s">
        <v>3333</v>
      </c>
      <c r="D823" t="s">
        <v>3579</v>
      </c>
      <c r="E823" t="s">
        <v>3366</v>
      </c>
      <c r="H823" t="s">
        <v>1087</v>
      </c>
      <c r="I823" t="s">
        <v>3076</v>
      </c>
      <c r="L823" t="s">
        <v>4005</v>
      </c>
      <c r="M823" t="s">
        <v>4005</v>
      </c>
    </row>
    <row r="824" spans="1:13" x14ac:dyDescent="0.3">
      <c r="A824" t="s">
        <v>3793</v>
      </c>
      <c r="B824" t="s">
        <v>3333</v>
      </c>
      <c r="D824" t="s">
        <v>3580</v>
      </c>
      <c r="E824" t="s">
        <v>3367</v>
      </c>
      <c r="H824" t="s">
        <v>3077</v>
      </c>
      <c r="I824" t="s">
        <v>3078</v>
      </c>
      <c r="L824" t="s">
        <v>4006</v>
      </c>
      <c r="M824" t="s">
        <v>4006</v>
      </c>
    </row>
    <row r="825" spans="1:13" x14ac:dyDescent="0.3">
      <c r="A825" t="s">
        <v>3794</v>
      </c>
      <c r="B825" t="s">
        <v>3333</v>
      </c>
      <c r="D825" t="s">
        <v>3581</v>
      </c>
      <c r="E825" t="s">
        <v>3368</v>
      </c>
      <c r="H825" t="s">
        <v>1146</v>
      </c>
      <c r="I825" t="s">
        <v>3079</v>
      </c>
      <c r="L825" t="s">
        <v>4007</v>
      </c>
      <c r="M825" t="s">
        <v>4007</v>
      </c>
    </row>
    <row r="826" spans="1:13" x14ac:dyDescent="0.3">
      <c r="A826" t="s">
        <v>3795</v>
      </c>
      <c r="B826" t="s">
        <v>3333</v>
      </c>
      <c r="D826" t="s">
        <v>3582</v>
      </c>
      <c r="E826" t="s">
        <v>3369</v>
      </c>
      <c r="H826" t="s">
        <v>3080</v>
      </c>
      <c r="I826" t="s">
        <v>3081</v>
      </c>
      <c r="L826" t="s">
        <v>4008</v>
      </c>
      <c r="M826" t="s">
        <v>4008</v>
      </c>
    </row>
    <row r="827" spans="1:13" x14ac:dyDescent="0.3">
      <c r="A827" t="s">
        <v>3796</v>
      </c>
      <c r="B827" t="s">
        <v>3333</v>
      </c>
      <c r="D827" t="s">
        <v>3583</v>
      </c>
      <c r="E827" t="s">
        <v>3370</v>
      </c>
      <c r="H827" t="s">
        <v>3082</v>
      </c>
      <c r="I827" t="s">
        <v>3083</v>
      </c>
      <c r="L827" t="s">
        <v>4009</v>
      </c>
      <c r="M827" t="s">
        <v>4009</v>
      </c>
    </row>
    <row r="828" spans="1:13" x14ac:dyDescent="0.3">
      <c r="A828" t="s">
        <v>3797</v>
      </c>
      <c r="B828" t="s">
        <v>3333</v>
      </c>
      <c r="D828" t="s">
        <v>3584</v>
      </c>
      <c r="E828" t="s">
        <v>3371</v>
      </c>
      <c r="H828" t="s">
        <v>3084</v>
      </c>
      <c r="I828" t="s">
        <v>3085</v>
      </c>
      <c r="L828" t="s">
        <v>4010</v>
      </c>
      <c r="M828" t="s">
        <v>4010</v>
      </c>
    </row>
    <row r="829" spans="1:13" x14ac:dyDescent="0.3">
      <c r="A829" t="s">
        <v>3798</v>
      </c>
      <c r="B829" t="s">
        <v>3333</v>
      </c>
      <c r="D829" t="s">
        <v>3585</v>
      </c>
      <c r="E829" t="s">
        <v>3372</v>
      </c>
      <c r="H829" t="s">
        <v>3086</v>
      </c>
      <c r="I829" t="s">
        <v>3087</v>
      </c>
      <c r="L829" t="s">
        <v>4011</v>
      </c>
      <c r="M829" t="s">
        <v>4011</v>
      </c>
    </row>
    <row r="830" spans="1:13" x14ac:dyDescent="0.3">
      <c r="A830" t="s">
        <v>3799</v>
      </c>
      <c r="B830" t="s">
        <v>3333</v>
      </c>
      <c r="D830" t="s">
        <v>3586</v>
      </c>
      <c r="E830" t="s">
        <v>3373</v>
      </c>
      <c r="H830" t="s">
        <v>3088</v>
      </c>
      <c r="I830" t="s">
        <v>3089</v>
      </c>
      <c r="L830" t="s">
        <v>4012</v>
      </c>
      <c r="M830" t="s">
        <v>4012</v>
      </c>
    </row>
    <row r="831" spans="1:13" x14ac:dyDescent="0.3">
      <c r="A831" t="s">
        <v>3800</v>
      </c>
      <c r="B831" t="s">
        <v>3333</v>
      </c>
      <c r="D831" t="s">
        <v>3587</v>
      </c>
      <c r="E831" t="s">
        <v>3374</v>
      </c>
      <c r="H831" t="s">
        <v>1263</v>
      </c>
      <c r="I831" t="s">
        <v>1251</v>
      </c>
      <c r="L831" t="s">
        <v>4013</v>
      </c>
      <c r="M831" t="s">
        <v>4013</v>
      </c>
    </row>
    <row r="832" spans="1:13" x14ac:dyDescent="0.3">
      <c r="A832" t="s">
        <v>3801</v>
      </c>
      <c r="B832" t="s">
        <v>3333</v>
      </c>
      <c r="D832" t="s">
        <v>3588</v>
      </c>
      <c r="E832" t="s">
        <v>3375</v>
      </c>
      <c r="H832" t="s">
        <v>3090</v>
      </c>
      <c r="I832" t="s">
        <v>3091</v>
      </c>
      <c r="L832" t="s">
        <v>4014</v>
      </c>
      <c r="M832" t="s">
        <v>4014</v>
      </c>
    </row>
    <row r="833" spans="1:13" x14ac:dyDescent="0.3">
      <c r="A833" t="s">
        <v>3802</v>
      </c>
      <c r="B833" t="s">
        <v>3333</v>
      </c>
      <c r="D833" t="s">
        <v>3589</v>
      </c>
      <c r="E833" t="s">
        <v>3376</v>
      </c>
      <c r="H833" t="s">
        <v>3092</v>
      </c>
      <c r="I833" t="s">
        <v>3093</v>
      </c>
      <c r="L833" t="s">
        <v>4015</v>
      </c>
      <c r="M833" t="s">
        <v>4015</v>
      </c>
    </row>
    <row r="834" spans="1:13" x14ac:dyDescent="0.3">
      <c r="A834" t="s">
        <v>3803</v>
      </c>
      <c r="B834" t="s">
        <v>3333</v>
      </c>
      <c r="D834" t="s">
        <v>3590</v>
      </c>
      <c r="E834" t="s">
        <v>3377</v>
      </c>
      <c r="H834" t="s">
        <v>1105</v>
      </c>
      <c r="I834" t="s">
        <v>3094</v>
      </c>
      <c r="L834" t="s">
        <v>4016</v>
      </c>
      <c r="M834" t="s">
        <v>4016</v>
      </c>
    </row>
    <row r="835" spans="1:13" x14ac:dyDescent="0.3">
      <c r="A835" t="s">
        <v>3804</v>
      </c>
      <c r="B835" t="s">
        <v>3333</v>
      </c>
      <c r="D835" t="s">
        <v>3591</v>
      </c>
      <c r="E835" t="s">
        <v>3378</v>
      </c>
      <c r="H835" t="s">
        <v>1136</v>
      </c>
      <c r="I835" t="s">
        <v>3095</v>
      </c>
      <c r="L835" t="s">
        <v>4017</v>
      </c>
      <c r="M835" t="s">
        <v>4017</v>
      </c>
    </row>
    <row r="836" spans="1:13" x14ac:dyDescent="0.3">
      <c r="A836" t="s">
        <v>3805</v>
      </c>
      <c r="B836" t="s">
        <v>3333</v>
      </c>
      <c r="D836" t="s">
        <v>3592</v>
      </c>
      <c r="E836" t="s">
        <v>3379</v>
      </c>
      <c r="H836" t="s">
        <v>1133</v>
      </c>
      <c r="I836" t="s">
        <v>3096</v>
      </c>
      <c r="L836" t="s">
        <v>4018</v>
      </c>
      <c r="M836" t="s">
        <v>4018</v>
      </c>
    </row>
    <row r="837" spans="1:13" x14ac:dyDescent="0.3">
      <c r="A837" t="s">
        <v>3806</v>
      </c>
      <c r="B837" t="s">
        <v>3333</v>
      </c>
      <c r="D837" t="s">
        <v>3593</v>
      </c>
      <c r="E837" t="s">
        <v>3380</v>
      </c>
      <c r="H837" t="s">
        <v>1355</v>
      </c>
      <c r="I837" t="s">
        <v>3097</v>
      </c>
      <c r="L837" t="s">
        <v>4019</v>
      </c>
      <c r="M837" t="s">
        <v>4019</v>
      </c>
    </row>
    <row r="838" spans="1:13" x14ac:dyDescent="0.3">
      <c r="A838" t="s">
        <v>3807</v>
      </c>
      <c r="B838" t="s">
        <v>3333</v>
      </c>
      <c r="D838" t="s">
        <v>3594</v>
      </c>
      <c r="E838" t="s">
        <v>3381</v>
      </c>
      <c r="H838" t="s">
        <v>2506</v>
      </c>
      <c r="I838" t="s">
        <v>3098</v>
      </c>
      <c r="L838" t="s">
        <v>4020</v>
      </c>
      <c r="M838" t="s">
        <v>4020</v>
      </c>
    </row>
    <row r="839" spans="1:13" x14ac:dyDescent="0.3">
      <c r="A839" t="s">
        <v>3808</v>
      </c>
      <c r="B839" t="s">
        <v>3333</v>
      </c>
      <c r="D839" t="s">
        <v>3595</v>
      </c>
      <c r="E839" t="s">
        <v>3382</v>
      </c>
      <c r="H839" t="s">
        <v>2488</v>
      </c>
      <c r="I839" t="s">
        <v>3099</v>
      </c>
      <c r="L839" t="s">
        <v>4021</v>
      </c>
      <c r="M839" t="s">
        <v>4021</v>
      </c>
    </row>
    <row r="840" spans="1:13" x14ac:dyDescent="0.3">
      <c r="A840" t="s">
        <v>3809</v>
      </c>
      <c r="B840" t="s">
        <v>3333</v>
      </c>
      <c r="D840" t="s">
        <v>3596</v>
      </c>
      <c r="E840" t="s">
        <v>3383</v>
      </c>
      <c r="H840" t="s">
        <v>1226</v>
      </c>
      <c r="I840" t="s">
        <v>3100</v>
      </c>
      <c r="L840" t="s">
        <v>4006</v>
      </c>
      <c r="M840" t="s">
        <v>4006</v>
      </c>
    </row>
    <row r="841" spans="1:13" x14ac:dyDescent="0.3">
      <c r="A841" t="s">
        <v>3810</v>
      </c>
      <c r="B841" t="s">
        <v>3333</v>
      </c>
      <c r="D841" t="s">
        <v>3597</v>
      </c>
      <c r="E841" t="s">
        <v>3384</v>
      </c>
      <c r="H841" t="s">
        <v>3101</v>
      </c>
      <c r="I841" t="s">
        <v>3102</v>
      </c>
      <c r="L841" t="s">
        <v>4022</v>
      </c>
      <c r="M841" t="s">
        <v>4022</v>
      </c>
    </row>
    <row r="842" spans="1:13" x14ac:dyDescent="0.3">
      <c r="A842" t="s">
        <v>3811</v>
      </c>
      <c r="B842" t="s">
        <v>3333</v>
      </c>
      <c r="D842" t="s">
        <v>3598</v>
      </c>
      <c r="E842" t="s">
        <v>3385</v>
      </c>
      <c r="H842" t="s">
        <v>1162</v>
      </c>
      <c r="I842" t="s">
        <v>3103</v>
      </c>
      <c r="L842" t="s">
        <v>4023</v>
      </c>
      <c r="M842" t="s">
        <v>4023</v>
      </c>
    </row>
    <row r="843" spans="1:13" x14ac:dyDescent="0.3">
      <c r="A843" t="s">
        <v>3812</v>
      </c>
      <c r="B843" t="s">
        <v>3333</v>
      </c>
      <c r="D843" t="s">
        <v>3599</v>
      </c>
      <c r="E843" t="s">
        <v>3386</v>
      </c>
      <c r="H843" t="s">
        <v>1133</v>
      </c>
      <c r="I843" t="s">
        <v>3104</v>
      </c>
      <c r="L843" t="s">
        <v>4024</v>
      </c>
      <c r="M843" t="s">
        <v>4024</v>
      </c>
    </row>
    <row r="844" spans="1:13" x14ac:dyDescent="0.3">
      <c r="A844" t="s">
        <v>3813</v>
      </c>
      <c r="B844" t="s">
        <v>3333</v>
      </c>
      <c r="D844" t="s">
        <v>3600</v>
      </c>
      <c r="E844" t="s">
        <v>3387</v>
      </c>
      <c r="H844" t="s">
        <v>1095</v>
      </c>
      <c r="I844" t="s">
        <v>3105</v>
      </c>
      <c r="L844" t="s">
        <v>2750</v>
      </c>
      <c r="M844" t="s">
        <v>2750</v>
      </c>
    </row>
    <row r="845" spans="1:13" x14ac:dyDescent="0.3">
      <c r="A845" t="s">
        <v>3814</v>
      </c>
      <c r="B845" t="s">
        <v>3333</v>
      </c>
      <c r="D845" t="s">
        <v>3601</v>
      </c>
      <c r="E845" t="s">
        <v>3388</v>
      </c>
      <c r="H845" t="s">
        <v>1355</v>
      </c>
      <c r="I845" t="s">
        <v>3106</v>
      </c>
      <c r="L845" t="s">
        <v>4025</v>
      </c>
      <c r="M845" t="s">
        <v>4025</v>
      </c>
    </row>
    <row r="846" spans="1:13" x14ac:dyDescent="0.3">
      <c r="A846" t="s">
        <v>3815</v>
      </c>
      <c r="B846" t="s">
        <v>3333</v>
      </c>
      <c r="D846" t="s">
        <v>3602</v>
      </c>
      <c r="E846" t="s">
        <v>3389</v>
      </c>
      <c r="H846" t="s">
        <v>1355</v>
      </c>
      <c r="I846" t="s">
        <v>3107</v>
      </c>
      <c r="L846" t="s">
        <v>4026</v>
      </c>
      <c r="M846" t="s">
        <v>4026</v>
      </c>
    </row>
    <row r="847" spans="1:13" x14ac:dyDescent="0.3">
      <c r="A847" t="s">
        <v>3816</v>
      </c>
      <c r="B847" t="s">
        <v>3333</v>
      </c>
      <c r="D847" t="s">
        <v>3603</v>
      </c>
      <c r="E847" t="s">
        <v>3390</v>
      </c>
      <c r="H847" t="s">
        <v>3108</v>
      </c>
      <c r="I847" t="s">
        <v>3109</v>
      </c>
      <c r="L847" t="s">
        <v>3991</v>
      </c>
      <c r="M847" t="s">
        <v>3991</v>
      </c>
    </row>
    <row r="848" spans="1:13" x14ac:dyDescent="0.3">
      <c r="A848" t="s">
        <v>3817</v>
      </c>
      <c r="B848" t="s">
        <v>3333</v>
      </c>
      <c r="D848" t="s">
        <v>3604</v>
      </c>
      <c r="E848" t="s">
        <v>3391</v>
      </c>
      <c r="H848" t="s">
        <v>1162</v>
      </c>
      <c r="I848" t="s">
        <v>3110</v>
      </c>
      <c r="L848" t="s">
        <v>4027</v>
      </c>
      <c r="M848" t="s">
        <v>4027</v>
      </c>
    </row>
    <row r="849" spans="1:13" x14ac:dyDescent="0.3">
      <c r="A849" t="s">
        <v>3818</v>
      </c>
      <c r="B849" t="s">
        <v>3333</v>
      </c>
      <c r="D849" t="s">
        <v>3605</v>
      </c>
      <c r="E849" t="s">
        <v>3392</v>
      </c>
      <c r="H849" t="s">
        <v>2561</v>
      </c>
      <c r="I849" t="s">
        <v>3111</v>
      </c>
      <c r="L849" t="s">
        <v>4006</v>
      </c>
      <c r="M849" t="s">
        <v>4006</v>
      </c>
    </row>
    <row r="850" spans="1:13" x14ac:dyDescent="0.3">
      <c r="A850" t="s">
        <v>3819</v>
      </c>
      <c r="B850" t="s">
        <v>3333</v>
      </c>
      <c r="D850" t="s">
        <v>3606</v>
      </c>
      <c r="E850" t="s">
        <v>3393</v>
      </c>
      <c r="H850" t="s">
        <v>3112</v>
      </c>
      <c r="I850" t="s">
        <v>2561</v>
      </c>
      <c r="L850" t="s">
        <v>4006</v>
      </c>
      <c r="M850" t="s">
        <v>4006</v>
      </c>
    </row>
    <row r="851" spans="1:13" x14ac:dyDescent="0.3">
      <c r="A851" t="s">
        <v>3820</v>
      </c>
      <c r="B851" t="s">
        <v>3333</v>
      </c>
      <c r="D851" t="s">
        <v>3607</v>
      </c>
      <c r="E851" t="s">
        <v>3394</v>
      </c>
      <c r="H851" t="s">
        <v>2498</v>
      </c>
      <c r="I851" t="s">
        <v>3113</v>
      </c>
      <c r="L851" t="s">
        <v>4028</v>
      </c>
      <c r="M851" t="s">
        <v>4028</v>
      </c>
    </row>
    <row r="852" spans="1:13" x14ac:dyDescent="0.3">
      <c r="A852" t="s">
        <v>3821</v>
      </c>
      <c r="B852" t="s">
        <v>3333</v>
      </c>
      <c r="D852" t="s">
        <v>3608</v>
      </c>
      <c r="E852" t="s">
        <v>3395</v>
      </c>
      <c r="H852" t="s">
        <v>3114</v>
      </c>
      <c r="I852" t="s">
        <v>3115</v>
      </c>
      <c r="L852" t="s">
        <v>4006</v>
      </c>
      <c r="M852" t="s">
        <v>4006</v>
      </c>
    </row>
    <row r="853" spans="1:13" x14ac:dyDescent="0.3">
      <c r="A853" t="s">
        <v>3822</v>
      </c>
      <c r="B853" t="s">
        <v>3333</v>
      </c>
      <c r="D853" t="s">
        <v>3609</v>
      </c>
      <c r="E853" t="s">
        <v>3396</v>
      </c>
      <c r="H853" t="s">
        <v>3116</v>
      </c>
      <c r="I853" t="s">
        <v>3117</v>
      </c>
      <c r="L853" t="s">
        <v>4029</v>
      </c>
      <c r="M853" t="s">
        <v>4029</v>
      </c>
    </row>
    <row r="854" spans="1:13" x14ac:dyDescent="0.3">
      <c r="A854" t="s">
        <v>3823</v>
      </c>
      <c r="B854" t="s">
        <v>3333</v>
      </c>
      <c r="D854" t="s">
        <v>3610</v>
      </c>
      <c r="E854" t="s">
        <v>3397</v>
      </c>
      <c r="H854" t="s">
        <v>1161</v>
      </c>
      <c r="I854" t="s">
        <v>1271</v>
      </c>
      <c r="L854" t="s">
        <v>4030</v>
      </c>
      <c r="M854" t="s">
        <v>4030</v>
      </c>
    </row>
    <row r="855" spans="1:13" x14ac:dyDescent="0.3">
      <c r="A855" t="s">
        <v>3824</v>
      </c>
      <c r="B855" t="s">
        <v>3333</v>
      </c>
      <c r="D855" t="s">
        <v>3611</v>
      </c>
      <c r="E855" t="s">
        <v>3398</v>
      </c>
      <c r="H855" t="s">
        <v>2382</v>
      </c>
      <c r="I855" t="s">
        <v>3118</v>
      </c>
      <c r="L855" t="s">
        <v>4031</v>
      </c>
      <c r="M855" t="s">
        <v>4031</v>
      </c>
    </row>
    <row r="856" spans="1:13" x14ac:dyDescent="0.3">
      <c r="A856" t="s">
        <v>3825</v>
      </c>
      <c r="B856" t="s">
        <v>3333</v>
      </c>
      <c r="D856" t="s">
        <v>3612</v>
      </c>
      <c r="E856" t="s">
        <v>3399</v>
      </c>
      <c r="H856" t="s">
        <v>3119</v>
      </c>
      <c r="I856" t="s">
        <v>3120</v>
      </c>
      <c r="L856" t="s">
        <v>4032</v>
      </c>
      <c r="M856" t="s">
        <v>4032</v>
      </c>
    </row>
    <row r="857" spans="1:13" x14ac:dyDescent="0.3">
      <c r="A857" t="s">
        <v>3826</v>
      </c>
      <c r="B857" t="s">
        <v>3333</v>
      </c>
      <c r="D857" t="s">
        <v>3613</v>
      </c>
      <c r="E857" t="s">
        <v>3400</v>
      </c>
      <c r="H857" t="s">
        <v>1161</v>
      </c>
      <c r="I857" t="s">
        <v>3121</v>
      </c>
      <c r="L857" t="s">
        <v>4018</v>
      </c>
      <c r="M857" t="s">
        <v>4018</v>
      </c>
    </row>
    <row r="858" spans="1:13" x14ac:dyDescent="0.3">
      <c r="A858" t="s">
        <v>3827</v>
      </c>
      <c r="B858" t="s">
        <v>3333</v>
      </c>
      <c r="D858" t="s">
        <v>3614</v>
      </c>
      <c r="E858" t="s">
        <v>3401</v>
      </c>
      <c r="H858" t="s">
        <v>2382</v>
      </c>
      <c r="I858" t="s">
        <v>3122</v>
      </c>
      <c r="L858" t="s">
        <v>4033</v>
      </c>
      <c r="M858" t="s">
        <v>4033</v>
      </c>
    </row>
    <row r="859" spans="1:13" x14ac:dyDescent="0.3">
      <c r="A859" t="s">
        <v>3828</v>
      </c>
      <c r="B859" t="s">
        <v>3333</v>
      </c>
      <c r="D859" t="s">
        <v>3615</v>
      </c>
      <c r="E859" t="s">
        <v>3402</v>
      </c>
      <c r="H859" t="s">
        <v>3123</v>
      </c>
      <c r="I859" t="s">
        <v>3124</v>
      </c>
      <c r="L859" t="s">
        <v>4034</v>
      </c>
      <c r="M859" t="s">
        <v>4034</v>
      </c>
    </row>
    <row r="860" spans="1:13" x14ac:dyDescent="0.3">
      <c r="A860" t="s">
        <v>3829</v>
      </c>
      <c r="B860" t="s">
        <v>3333</v>
      </c>
      <c r="D860" t="s">
        <v>3616</v>
      </c>
      <c r="E860" t="s">
        <v>3403</v>
      </c>
      <c r="H860" t="s">
        <v>3125</v>
      </c>
      <c r="I860" t="s">
        <v>1130</v>
      </c>
      <c r="L860" t="s">
        <v>4035</v>
      </c>
      <c r="M860" t="s">
        <v>4035</v>
      </c>
    </row>
    <row r="861" spans="1:13" x14ac:dyDescent="0.3">
      <c r="A861" t="s">
        <v>3830</v>
      </c>
      <c r="B861" t="s">
        <v>3333</v>
      </c>
      <c r="D861" t="s">
        <v>3617</v>
      </c>
      <c r="E861" t="s">
        <v>3404</v>
      </c>
      <c r="H861" t="s">
        <v>2577</v>
      </c>
      <c r="I861" t="s">
        <v>3126</v>
      </c>
      <c r="L861" t="s">
        <v>4018</v>
      </c>
      <c r="M861" t="s">
        <v>4018</v>
      </c>
    </row>
    <row r="862" spans="1:13" x14ac:dyDescent="0.3">
      <c r="A862" t="s">
        <v>3831</v>
      </c>
      <c r="B862" t="s">
        <v>3333</v>
      </c>
      <c r="D862" t="s">
        <v>3618</v>
      </c>
      <c r="E862" t="s">
        <v>3405</v>
      </c>
      <c r="H862" t="s">
        <v>1269</v>
      </c>
      <c r="I862" t="s">
        <v>3127</v>
      </c>
      <c r="L862" t="s">
        <v>4036</v>
      </c>
      <c r="M862" t="s">
        <v>4036</v>
      </c>
    </row>
    <row r="863" spans="1:13" x14ac:dyDescent="0.3">
      <c r="A863" t="s">
        <v>3832</v>
      </c>
      <c r="B863" t="s">
        <v>3333</v>
      </c>
      <c r="D863" t="s">
        <v>3619</v>
      </c>
      <c r="E863" t="s">
        <v>3406</v>
      </c>
      <c r="H863" t="s">
        <v>3128</v>
      </c>
      <c r="I863" t="s">
        <v>3129</v>
      </c>
      <c r="L863" t="s">
        <v>4037</v>
      </c>
      <c r="M863" t="s">
        <v>4037</v>
      </c>
    </row>
    <row r="864" spans="1:13" x14ac:dyDescent="0.3">
      <c r="A864" t="s">
        <v>3833</v>
      </c>
      <c r="B864" t="s">
        <v>3333</v>
      </c>
      <c r="D864" t="s">
        <v>3620</v>
      </c>
      <c r="E864" t="s">
        <v>3407</v>
      </c>
      <c r="H864" t="s">
        <v>1248</v>
      </c>
      <c r="I864" t="s">
        <v>3130</v>
      </c>
      <c r="L864" t="s">
        <v>4038</v>
      </c>
      <c r="M864" t="s">
        <v>4038</v>
      </c>
    </row>
    <row r="865" spans="1:13" x14ac:dyDescent="0.3">
      <c r="A865" t="s">
        <v>3834</v>
      </c>
      <c r="B865" t="s">
        <v>3333</v>
      </c>
      <c r="D865" t="s">
        <v>3621</v>
      </c>
      <c r="E865" t="s">
        <v>3408</v>
      </c>
      <c r="H865" t="s">
        <v>1269</v>
      </c>
      <c r="I865" t="s">
        <v>3131</v>
      </c>
      <c r="L865" t="s">
        <v>4039</v>
      </c>
      <c r="M865" t="s">
        <v>4039</v>
      </c>
    </row>
    <row r="866" spans="1:13" x14ac:dyDescent="0.3">
      <c r="A866" t="s">
        <v>3835</v>
      </c>
      <c r="B866" t="s">
        <v>3333</v>
      </c>
      <c r="D866" t="s">
        <v>3622</v>
      </c>
      <c r="E866" t="s">
        <v>3409</v>
      </c>
      <c r="H866" t="s">
        <v>1113</v>
      </c>
      <c r="I866" t="s">
        <v>3132</v>
      </c>
      <c r="L866" t="s">
        <v>4040</v>
      </c>
      <c r="M866" t="s">
        <v>4040</v>
      </c>
    </row>
    <row r="867" spans="1:13" x14ac:dyDescent="0.3">
      <c r="A867" t="s">
        <v>3836</v>
      </c>
      <c r="B867" t="s">
        <v>3333</v>
      </c>
      <c r="D867" t="s">
        <v>3623</v>
      </c>
      <c r="E867" t="s">
        <v>3410</v>
      </c>
      <c r="H867" t="s">
        <v>3133</v>
      </c>
      <c r="I867" t="s">
        <v>3134</v>
      </c>
      <c r="L867" t="s">
        <v>4041</v>
      </c>
      <c r="M867" t="s">
        <v>4041</v>
      </c>
    </row>
    <row r="868" spans="1:13" x14ac:dyDescent="0.3">
      <c r="A868" t="s">
        <v>3837</v>
      </c>
      <c r="B868" t="s">
        <v>3333</v>
      </c>
      <c r="D868" t="s">
        <v>3624</v>
      </c>
      <c r="E868" t="s">
        <v>3411</v>
      </c>
      <c r="H868" t="s">
        <v>2568</v>
      </c>
      <c r="I868" t="s">
        <v>3135</v>
      </c>
      <c r="L868" t="s">
        <v>4042</v>
      </c>
      <c r="M868" t="s">
        <v>4042</v>
      </c>
    </row>
    <row r="869" spans="1:13" x14ac:dyDescent="0.3">
      <c r="A869" t="s">
        <v>3838</v>
      </c>
      <c r="B869" t="s">
        <v>3333</v>
      </c>
      <c r="D869" t="s">
        <v>3625</v>
      </c>
      <c r="E869" t="s">
        <v>3412</v>
      </c>
      <c r="H869" t="s">
        <v>2608</v>
      </c>
      <c r="I869" t="s">
        <v>3136</v>
      </c>
      <c r="L869" t="s">
        <v>4043</v>
      </c>
      <c r="M869" t="s">
        <v>4043</v>
      </c>
    </row>
    <row r="870" spans="1:13" x14ac:dyDescent="0.3">
      <c r="A870" t="s">
        <v>3839</v>
      </c>
      <c r="B870" t="s">
        <v>3333</v>
      </c>
      <c r="D870" t="s">
        <v>3626</v>
      </c>
      <c r="E870" t="s">
        <v>3413</v>
      </c>
      <c r="H870" t="s">
        <v>2608</v>
      </c>
      <c r="I870" t="s">
        <v>3137</v>
      </c>
      <c r="L870" t="s">
        <v>4044</v>
      </c>
      <c r="M870" t="s">
        <v>4044</v>
      </c>
    </row>
    <row r="871" spans="1:13" x14ac:dyDescent="0.3">
      <c r="A871" t="s">
        <v>3840</v>
      </c>
      <c r="B871" t="s">
        <v>3333</v>
      </c>
      <c r="D871" t="s">
        <v>3627</v>
      </c>
      <c r="E871" t="s">
        <v>3414</v>
      </c>
      <c r="H871" t="s">
        <v>3138</v>
      </c>
      <c r="I871" t="s">
        <v>3139</v>
      </c>
      <c r="L871" t="s">
        <v>4018</v>
      </c>
      <c r="M871" t="s">
        <v>4018</v>
      </c>
    </row>
    <row r="872" spans="1:13" x14ac:dyDescent="0.3">
      <c r="A872" t="s">
        <v>3841</v>
      </c>
      <c r="B872" t="s">
        <v>3333</v>
      </c>
      <c r="D872" t="s">
        <v>3628</v>
      </c>
      <c r="E872" t="s">
        <v>3415</v>
      </c>
      <c r="H872" t="s">
        <v>2547</v>
      </c>
      <c r="I872" t="s">
        <v>3140</v>
      </c>
      <c r="L872" t="s">
        <v>4018</v>
      </c>
      <c r="M872" t="s">
        <v>4018</v>
      </c>
    </row>
    <row r="873" spans="1:13" x14ac:dyDescent="0.3">
      <c r="A873" t="s">
        <v>3842</v>
      </c>
      <c r="B873" t="s">
        <v>3333</v>
      </c>
      <c r="D873" t="s">
        <v>3629</v>
      </c>
      <c r="E873" t="s">
        <v>3416</v>
      </c>
      <c r="H873" t="s">
        <v>1091</v>
      </c>
      <c r="I873" t="s">
        <v>3141</v>
      </c>
      <c r="L873" t="s">
        <v>4006</v>
      </c>
      <c r="M873" t="s">
        <v>4006</v>
      </c>
    </row>
    <row r="874" spans="1:13" x14ac:dyDescent="0.3">
      <c r="A874" t="s">
        <v>3843</v>
      </c>
      <c r="B874" t="s">
        <v>3333</v>
      </c>
      <c r="D874" t="s">
        <v>3630</v>
      </c>
      <c r="E874" t="s">
        <v>3417</v>
      </c>
      <c r="H874" t="s">
        <v>3142</v>
      </c>
      <c r="I874" t="s">
        <v>3143</v>
      </c>
      <c r="L874" t="s">
        <v>4045</v>
      </c>
      <c r="M874" t="s">
        <v>4045</v>
      </c>
    </row>
    <row r="875" spans="1:13" x14ac:dyDescent="0.3">
      <c r="A875" t="s">
        <v>3844</v>
      </c>
      <c r="B875" t="s">
        <v>3333</v>
      </c>
      <c r="D875" t="s">
        <v>3631</v>
      </c>
      <c r="E875" t="s">
        <v>3418</v>
      </c>
      <c r="H875" t="s">
        <v>3142</v>
      </c>
      <c r="I875" t="s">
        <v>3144</v>
      </c>
      <c r="L875" t="s">
        <v>4006</v>
      </c>
      <c r="M875" t="s">
        <v>4006</v>
      </c>
    </row>
    <row r="876" spans="1:13" x14ac:dyDescent="0.3">
      <c r="A876" t="s">
        <v>3845</v>
      </c>
      <c r="B876" t="s">
        <v>3333</v>
      </c>
      <c r="D876" t="s">
        <v>3632</v>
      </c>
      <c r="E876" t="s">
        <v>3419</v>
      </c>
      <c r="H876" t="s">
        <v>3145</v>
      </c>
      <c r="I876" t="s">
        <v>3146</v>
      </c>
      <c r="L876" t="s">
        <v>4046</v>
      </c>
      <c r="M876" t="s">
        <v>4046</v>
      </c>
    </row>
    <row r="877" spans="1:13" x14ac:dyDescent="0.3">
      <c r="A877" t="s">
        <v>3846</v>
      </c>
      <c r="B877" t="s">
        <v>3333</v>
      </c>
      <c r="D877" t="s">
        <v>3633</v>
      </c>
      <c r="E877" t="s">
        <v>3420</v>
      </c>
      <c r="H877" t="s">
        <v>3147</v>
      </c>
      <c r="I877" t="s">
        <v>3148</v>
      </c>
      <c r="L877" t="s">
        <v>4047</v>
      </c>
      <c r="M877" t="s">
        <v>4047</v>
      </c>
    </row>
    <row r="878" spans="1:13" x14ac:dyDescent="0.3">
      <c r="A878" t="s">
        <v>3847</v>
      </c>
      <c r="B878" t="s">
        <v>3333</v>
      </c>
      <c r="D878" t="s">
        <v>3634</v>
      </c>
      <c r="E878" t="s">
        <v>3421</v>
      </c>
      <c r="H878" t="s">
        <v>3149</v>
      </c>
      <c r="I878" t="s">
        <v>3150</v>
      </c>
      <c r="L878" t="s">
        <v>4048</v>
      </c>
      <c r="M878" t="s">
        <v>4048</v>
      </c>
    </row>
    <row r="879" spans="1:13" x14ac:dyDescent="0.3">
      <c r="A879" t="s">
        <v>3848</v>
      </c>
      <c r="B879" t="s">
        <v>3333</v>
      </c>
      <c r="D879" t="s">
        <v>3635</v>
      </c>
      <c r="E879" t="s">
        <v>3422</v>
      </c>
      <c r="H879" t="s">
        <v>3151</v>
      </c>
      <c r="I879" t="s">
        <v>2519</v>
      </c>
      <c r="L879" t="s">
        <v>4049</v>
      </c>
      <c r="M879" t="s">
        <v>4049</v>
      </c>
    </row>
    <row r="880" spans="1:13" x14ac:dyDescent="0.3">
      <c r="A880" t="s">
        <v>3849</v>
      </c>
      <c r="B880" t="s">
        <v>3333</v>
      </c>
      <c r="D880" t="s">
        <v>3636</v>
      </c>
      <c r="E880" t="s">
        <v>3423</v>
      </c>
      <c r="H880" t="s">
        <v>3152</v>
      </c>
      <c r="I880" t="s">
        <v>3153</v>
      </c>
      <c r="L880" t="s">
        <v>4050</v>
      </c>
      <c r="M880" t="s">
        <v>4050</v>
      </c>
    </row>
    <row r="881" spans="1:13" x14ac:dyDescent="0.3">
      <c r="A881" t="s">
        <v>3850</v>
      </c>
      <c r="B881" t="s">
        <v>3333</v>
      </c>
      <c r="D881" t="s">
        <v>3637</v>
      </c>
      <c r="E881" t="s">
        <v>3424</v>
      </c>
      <c r="H881" t="s">
        <v>1115</v>
      </c>
      <c r="I881" t="s">
        <v>3154</v>
      </c>
      <c r="L881" t="s">
        <v>4051</v>
      </c>
      <c r="M881" t="s">
        <v>4051</v>
      </c>
    </row>
    <row r="882" spans="1:13" x14ac:dyDescent="0.3">
      <c r="A882" t="s">
        <v>3851</v>
      </c>
      <c r="B882" t="s">
        <v>3333</v>
      </c>
      <c r="D882" t="s">
        <v>3638</v>
      </c>
      <c r="E882" t="s">
        <v>3425</v>
      </c>
      <c r="H882" t="s">
        <v>1117</v>
      </c>
      <c r="I882" t="s">
        <v>3155</v>
      </c>
      <c r="L882" t="s">
        <v>4025</v>
      </c>
      <c r="M882" t="s">
        <v>4025</v>
      </c>
    </row>
    <row r="883" spans="1:13" x14ac:dyDescent="0.3">
      <c r="A883" t="s">
        <v>3852</v>
      </c>
      <c r="B883" t="s">
        <v>3333</v>
      </c>
      <c r="D883" t="s">
        <v>3639</v>
      </c>
      <c r="E883" t="s">
        <v>3426</v>
      </c>
      <c r="H883" t="s">
        <v>3156</v>
      </c>
      <c r="I883" t="s">
        <v>3157</v>
      </c>
      <c r="L883" t="s">
        <v>3996</v>
      </c>
      <c r="M883" t="s">
        <v>3996</v>
      </c>
    </row>
    <row r="884" spans="1:13" x14ac:dyDescent="0.3">
      <c r="A884" t="s">
        <v>3853</v>
      </c>
      <c r="B884" t="s">
        <v>3334</v>
      </c>
      <c r="D884" t="s">
        <v>3640</v>
      </c>
      <c r="E884" t="s">
        <v>3427</v>
      </c>
      <c r="H884" t="s">
        <v>2556</v>
      </c>
      <c r="I884" t="s">
        <v>3158</v>
      </c>
      <c r="L884" t="s">
        <v>4052</v>
      </c>
      <c r="M884" t="s">
        <v>4052</v>
      </c>
    </row>
    <row r="885" spans="1:13" x14ac:dyDescent="0.3">
      <c r="A885" t="s">
        <v>3854</v>
      </c>
      <c r="B885" t="s">
        <v>3334</v>
      </c>
      <c r="D885" t="s">
        <v>3641</v>
      </c>
      <c r="E885" t="s">
        <v>3428</v>
      </c>
      <c r="H885" t="s">
        <v>2425</v>
      </c>
      <c r="I885" t="s">
        <v>3159</v>
      </c>
      <c r="L885" t="s">
        <v>4053</v>
      </c>
      <c r="M885" t="s">
        <v>4053</v>
      </c>
    </row>
    <row r="886" spans="1:13" x14ac:dyDescent="0.3">
      <c r="A886" t="s">
        <v>3855</v>
      </c>
      <c r="B886" t="s">
        <v>3334</v>
      </c>
      <c r="D886" t="s">
        <v>3642</v>
      </c>
      <c r="E886" t="s">
        <v>3429</v>
      </c>
      <c r="H886" t="s">
        <v>3160</v>
      </c>
      <c r="I886" t="s">
        <v>3161</v>
      </c>
      <c r="L886" t="s">
        <v>4054</v>
      </c>
      <c r="M886" t="s">
        <v>4054</v>
      </c>
    </row>
    <row r="887" spans="1:13" x14ac:dyDescent="0.3">
      <c r="A887" t="s">
        <v>3856</v>
      </c>
      <c r="B887" t="s">
        <v>3334</v>
      </c>
      <c r="D887" t="s">
        <v>3643</v>
      </c>
      <c r="E887" t="s">
        <v>3430</v>
      </c>
      <c r="H887" t="s">
        <v>3162</v>
      </c>
      <c r="I887" t="s">
        <v>3163</v>
      </c>
      <c r="L887" t="s">
        <v>4055</v>
      </c>
      <c r="M887" t="s">
        <v>4055</v>
      </c>
    </row>
    <row r="888" spans="1:13" x14ac:dyDescent="0.3">
      <c r="A888" t="s">
        <v>3857</v>
      </c>
      <c r="B888" t="s">
        <v>3334</v>
      </c>
      <c r="D888" t="s">
        <v>3644</v>
      </c>
      <c r="E888" t="s">
        <v>3431</v>
      </c>
      <c r="H888" t="s">
        <v>3164</v>
      </c>
      <c r="I888" t="s">
        <v>3165</v>
      </c>
      <c r="L888" t="s">
        <v>4056</v>
      </c>
      <c r="M888" t="s">
        <v>4056</v>
      </c>
    </row>
    <row r="889" spans="1:13" x14ac:dyDescent="0.3">
      <c r="A889" t="s">
        <v>3858</v>
      </c>
      <c r="B889" t="s">
        <v>3335</v>
      </c>
      <c r="D889" t="s">
        <v>3645</v>
      </c>
      <c r="E889" t="s">
        <v>3432</v>
      </c>
      <c r="H889" t="s">
        <v>3166</v>
      </c>
      <c r="I889" t="s">
        <v>3167</v>
      </c>
      <c r="L889" t="s">
        <v>4057</v>
      </c>
      <c r="M889" t="s">
        <v>4057</v>
      </c>
    </row>
    <row r="890" spans="1:13" x14ac:dyDescent="0.3">
      <c r="A890" t="s">
        <v>3859</v>
      </c>
      <c r="B890" t="s">
        <v>3335</v>
      </c>
      <c r="D890" t="s">
        <v>3646</v>
      </c>
      <c r="E890" t="s">
        <v>3433</v>
      </c>
      <c r="H890" t="s">
        <v>2598</v>
      </c>
      <c r="I890" t="s">
        <v>3168</v>
      </c>
      <c r="L890" t="s">
        <v>4058</v>
      </c>
      <c r="M890" t="s">
        <v>4058</v>
      </c>
    </row>
    <row r="891" spans="1:13" x14ac:dyDescent="0.3">
      <c r="A891" t="s">
        <v>3860</v>
      </c>
      <c r="B891" t="s">
        <v>3335</v>
      </c>
      <c r="D891" t="s">
        <v>3647</v>
      </c>
      <c r="E891" t="s">
        <v>3434</v>
      </c>
      <c r="H891" t="s">
        <v>1258</v>
      </c>
      <c r="I891" t="s">
        <v>3169</v>
      </c>
      <c r="L891" t="s">
        <v>4059</v>
      </c>
      <c r="M891" t="s">
        <v>4059</v>
      </c>
    </row>
    <row r="892" spans="1:13" x14ac:dyDescent="0.3">
      <c r="A892" t="s">
        <v>3861</v>
      </c>
      <c r="B892" t="s">
        <v>3335</v>
      </c>
      <c r="D892" t="s">
        <v>3648</v>
      </c>
      <c r="E892" t="s">
        <v>3435</v>
      </c>
      <c r="H892" t="s">
        <v>2396</v>
      </c>
      <c r="I892" t="s">
        <v>3170</v>
      </c>
      <c r="L892" t="s">
        <v>4018</v>
      </c>
      <c r="M892" t="s">
        <v>4018</v>
      </c>
    </row>
    <row r="893" spans="1:13" x14ac:dyDescent="0.3">
      <c r="A893" t="s">
        <v>3862</v>
      </c>
      <c r="B893" t="s">
        <v>3335</v>
      </c>
      <c r="D893" t="s">
        <v>3649</v>
      </c>
      <c r="E893" t="s">
        <v>3436</v>
      </c>
      <c r="H893" t="s">
        <v>1125</v>
      </c>
      <c r="I893" t="s">
        <v>3171</v>
      </c>
      <c r="L893" t="s">
        <v>4025</v>
      </c>
      <c r="M893" t="s">
        <v>4025</v>
      </c>
    </row>
    <row r="894" spans="1:13" x14ac:dyDescent="0.3">
      <c r="A894" t="s">
        <v>3863</v>
      </c>
      <c r="B894" t="s">
        <v>3335</v>
      </c>
      <c r="D894" t="s">
        <v>3650</v>
      </c>
      <c r="E894" t="s">
        <v>3437</v>
      </c>
      <c r="H894" t="s">
        <v>3172</v>
      </c>
      <c r="I894" t="s">
        <v>3173</v>
      </c>
      <c r="L894" t="s">
        <v>4060</v>
      </c>
      <c r="M894" t="s">
        <v>4060</v>
      </c>
    </row>
    <row r="895" spans="1:13" x14ac:dyDescent="0.3">
      <c r="A895" t="s">
        <v>3864</v>
      </c>
      <c r="B895" t="s">
        <v>3336</v>
      </c>
      <c r="D895" t="s">
        <v>3651</v>
      </c>
      <c r="E895" t="s">
        <v>3438</v>
      </c>
      <c r="H895" t="s">
        <v>1358</v>
      </c>
      <c r="I895" t="s">
        <v>3174</v>
      </c>
      <c r="L895" t="s">
        <v>4061</v>
      </c>
      <c r="M895" t="s">
        <v>4061</v>
      </c>
    </row>
    <row r="896" spans="1:13" x14ac:dyDescent="0.3">
      <c r="A896" t="s">
        <v>3865</v>
      </c>
      <c r="B896" t="s">
        <v>3336</v>
      </c>
      <c r="D896" t="s">
        <v>3652</v>
      </c>
      <c r="E896" t="s">
        <v>3439</v>
      </c>
      <c r="H896" t="s">
        <v>3175</v>
      </c>
      <c r="I896" t="s">
        <v>3176</v>
      </c>
      <c r="L896" t="s">
        <v>4006</v>
      </c>
      <c r="M896" t="s">
        <v>4006</v>
      </c>
    </row>
    <row r="897" spans="1:13" x14ac:dyDescent="0.3">
      <c r="A897" t="s">
        <v>3866</v>
      </c>
      <c r="B897" t="s">
        <v>3336</v>
      </c>
      <c r="D897" t="s">
        <v>3653</v>
      </c>
      <c r="E897" t="s">
        <v>3440</v>
      </c>
      <c r="H897" t="s">
        <v>3177</v>
      </c>
      <c r="I897" t="s">
        <v>3178</v>
      </c>
      <c r="L897" t="s">
        <v>4062</v>
      </c>
      <c r="M897" t="s">
        <v>4062</v>
      </c>
    </row>
    <row r="898" spans="1:13" x14ac:dyDescent="0.3">
      <c r="A898" t="s">
        <v>3867</v>
      </c>
      <c r="B898" t="s">
        <v>3336</v>
      </c>
      <c r="D898" t="s">
        <v>3654</v>
      </c>
      <c r="E898" t="s">
        <v>3441</v>
      </c>
      <c r="H898" t="s">
        <v>3179</v>
      </c>
      <c r="I898" t="s">
        <v>3180</v>
      </c>
      <c r="L898" t="s">
        <v>4063</v>
      </c>
      <c r="M898" t="s">
        <v>4063</v>
      </c>
    </row>
    <row r="899" spans="1:13" x14ac:dyDescent="0.3">
      <c r="A899" t="s">
        <v>3868</v>
      </c>
      <c r="B899" t="s">
        <v>3336</v>
      </c>
      <c r="D899" t="s">
        <v>3655</v>
      </c>
      <c r="E899" t="s">
        <v>3442</v>
      </c>
      <c r="H899" t="s">
        <v>2523</v>
      </c>
      <c r="I899" t="s">
        <v>2729</v>
      </c>
      <c r="L899" t="s">
        <v>4064</v>
      </c>
      <c r="M899" t="s">
        <v>4064</v>
      </c>
    </row>
    <row r="900" spans="1:13" x14ac:dyDescent="0.3">
      <c r="A900" t="s">
        <v>3869</v>
      </c>
      <c r="B900" t="s">
        <v>3336</v>
      </c>
      <c r="D900" t="s">
        <v>3656</v>
      </c>
      <c r="E900" t="s">
        <v>3443</v>
      </c>
      <c r="H900" t="s">
        <v>3181</v>
      </c>
      <c r="I900" t="s">
        <v>3182</v>
      </c>
      <c r="L900" t="s">
        <v>4065</v>
      </c>
      <c r="M900" t="s">
        <v>4065</v>
      </c>
    </row>
    <row r="901" spans="1:13" x14ac:dyDescent="0.3">
      <c r="A901" t="s">
        <v>3870</v>
      </c>
      <c r="B901" t="s">
        <v>3336</v>
      </c>
      <c r="D901" t="s">
        <v>3657</v>
      </c>
      <c r="E901" t="s">
        <v>3444</v>
      </c>
      <c r="H901" t="s">
        <v>3183</v>
      </c>
      <c r="I901" t="s">
        <v>3184</v>
      </c>
      <c r="L901" t="s">
        <v>4066</v>
      </c>
      <c r="M901" t="s">
        <v>4066</v>
      </c>
    </row>
    <row r="902" spans="1:13" x14ac:dyDescent="0.3">
      <c r="A902" t="s">
        <v>3871</v>
      </c>
      <c r="B902" t="s">
        <v>3336</v>
      </c>
      <c r="D902" t="s">
        <v>3658</v>
      </c>
      <c r="E902" t="s">
        <v>3445</v>
      </c>
      <c r="H902" t="s">
        <v>3185</v>
      </c>
      <c r="I902" t="s">
        <v>3186</v>
      </c>
      <c r="L902" t="s">
        <v>4067</v>
      </c>
      <c r="M902" t="s">
        <v>4067</v>
      </c>
    </row>
    <row r="903" spans="1:13" x14ac:dyDescent="0.3">
      <c r="A903" t="s">
        <v>3872</v>
      </c>
      <c r="B903" t="s">
        <v>3336</v>
      </c>
      <c r="D903" t="s">
        <v>3659</v>
      </c>
      <c r="E903" t="s">
        <v>3446</v>
      </c>
      <c r="H903" t="s">
        <v>2493</v>
      </c>
      <c r="I903" t="s">
        <v>2620</v>
      </c>
      <c r="L903" t="s">
        <v>3986</v>
      </c>
      <c r="M903" t="s">
        <v>3986</v>
      </c>
    </row>
    <row r="904" spans="1:13" x14ac:dyDescent="0.3">
      <c r="A904" t="s">
        <v>3873</v>
      </c>
      <c r="B904" t="s">
        <v>3336</v>
      </c>
      <c r="D904" t="s">
        <v>3660</v>
      </c>
      <c r="E904" t="s">
        <v>3447</v>
      </c>
      <c r="H904" t="s">
        <v>3187</v>
      </c>
      <c r="I904" t="s">
        <v>3188</v>
      </c>
      <c r="L904" t="s">
        <v>4068</v>
      </c>
      <c r="M904" t="s">
        <v>4068</v>
      </c>
    </row>
    <row r="905" spans="1:13" x14ac:dyDescent="0.3">
      <c r="A905" t="s">
        <v>3874</v>
      </c>
      <c r="B905" t="s">
        <v>3336</v>
      </c>
      <c r="D905" t="s">
        <v>3661</v>
      </c>
      <c r="E905" t="s">
        <v>3448</v>
      </c>
      <c r="H905" t="s">
        <v>3189</v>
      </c>
      <c r="I905" t="s">
        <v>3190</v>
      </c>
      <c r="L905" t="s">
        <v>4069</v>
      </c>
      <c r="M905" t="s">
        <v>4069</v>
      </c>
    </row>
    <row r="906" spans="1:13" x14ac:dyDescent="0.3">
      <c r="A906" t="s">
        <v>3875</v>
      </c>
      <c r="B906" t="s">
        <v>3336</v>
      </c>
      <c r="D906" t="s">
        <v>3662</v>
      </c>
      <c r="E906" t="s">
        <v>3449</v>
      </c>
      <c r="H906" t="s">
        <v>3191</v>
      </c>
      <c r="I906" t="s">
        <v>1251</v>
      </c>
      <c r="L906" t="s">
        <v>4070</v>
      </c>
      <c r="M906" t="s">
        <v>4070</v>
      </c>
    </row>
    <row r="907" spans="1:13" x14ac:dyDescent="0.3">
      <c r="A907" t="s">
        <v>3876</v>
      </c>
      <c r="B907" t="s">
        <v>3336</v>
      </c>
      <c r="D907" t="s">
        <v>3663</v>
      </c>
      <c r="E907" t="s">
        <v>3450</v>
      </c>
      <c r="H907" t="s">
        <v>3192</v>
      </c>
      <c r="I907" t="s">
        <v>3193</v>
      </c>
      <c r="L907" t="s">
        <v>3986</v>
      </c>
      <c r="M907" t="s">
        <v>3986</v>
      </c>
    </row>
    <row r="908" spans="1:13" x14ac:dyDescent="0.3">
      <c r="A908" t="s">
        <v>3877</v>
      </c>
      <c r="B908" t="s">
        <v>3336</v>
      </c>
      <c r="D908" t="s">
        <v>3664</v>
      </c>
      <c r="E908" t="s">
        <v>3451</v>
      </c>
      <c r="H908" t="s">
        <v>3194</v>
      </c>
      <c r="I908" t="s">
        <v>3195</v>
      </c>
      <c r="L908" t="s">
        <v>4071</v>
      </c>
      <c r="M908" t="s">
        <v>4071</v>
      </c>
    </row>
    <row r="909" spans="1:13" x14ac:dyDescent="0.3">
      <c r="A909" t="s">
        <v>3878</v>
      </c>
      <c r="B909" t="s">
        <v>3336</v>
      </c>
      <c r="D909" t="s">
        <v>3665</v>
      </c>
      <c r="E909" t="s">
        <v>3452</v>
      </c>
      <c r="H909" t="s">
        <v>3196</v>
      </c>
      <c r="I909" t="s">
        <v>3197</v>
      </c>
      <c r="L909" t="s">
        <v>4072</v>
      </c>
      <c r="M909" t="s">
        <v>4072</v>
      </c>
    </row>
    <row r="910" spans="1:13" x14ac:dyDescent="0.3">
      <c r="A910" t="s">
        <v>3879</v>
      </c>
      <c r="B910" t="s">
        <v>3336</v>
      </c>
      <c r="D910" t="s">
        <v>3666</v>
      </c>
      <c r="E910" t="s">
        <v>3453</v>
      </c>
      <c r="H910" t="s">
        <v>1133</v>
      </c>
      <c r="I910" t="s">
        <v>3198</v>
      </c>
      <c r="L910" t="s">
        <v>3986</v>
      </c>
      <c r="M910" t="s">
        <v>3986</v>
      </c>
    </row>
    <row r="911" spans="1:13" x14ac:dyDescent="0.3">
      <c r="A911" t="s">
        <v>3880</v>
      </c>
      <c r="B911" t="s">
        <v>3336</v>
      </c>
      <c r="D911" t="s">
        <v>3667</v>
      </c>
      <c r="E911" t="s">
        <v>3454</v>
      </c>
      <c r="H911" t="s">
        <v>2242</v>
      </c>
      <c r="I911" t="s">
        <v>1259</v>
      </c>
      <c r="L911" t="s">
        <v>4006</v>
      </c>
      <c r="M911" t="s">
        <v>4006</v>
      </c>
    </row>
    <row r="912" spans="1:13" x14ac:dyDescent="0.3">
      <c r="A912" t="s">
        <v>3881</v>
      </c>
      <c r="B912" t="s">
        <v>3336</v>
      </c>
      <c r="D912" t="s">
        <v>3668</v>
      </c>
      <c r="E912" t="s">
        <v>3455</v>
      </c>
      <c r="H912" t="s">
        <v>3199</v>
      </c>
      <c r="I912" t="s">
        <v>2251</v>
      </c>
      <c r="L912" t="s">
        <v>4067</v>
      </c>
      <c r="M912" t="s">
        <v>4067</v>
      </c>
    </row>
    <row r="913" spans="1:13" x14ac:dyDescent="0.3">
      <c r="A913" t="s">
        <v>3882</v>
      </c>
      <c r="B913" t="s">
        <v>3336</v>
      </c>
      <c r="D913" t="s">
        <v>3669</v>
      </c>
      <c r="E913" t="s">
        <v>3456</v>
      </c>
      <c r="H913" t="s">
        <v>3200</v>
      </c>
      <c r="I913" t="s">
        <v>3201</v>
      </c>
      <c r="L913" t="s">
        <v>4073</v>
      </c>
      <c r="M913" t="s">
        <v>4073</v>
      </c>
    </row>
    <row r="914" spans="1:13" x14ac:dyDescent="0.3">
      <c r="A914" t="s">
        <v>3883</v>
      </c>
      <c r="B914" t="s">
        <v>3336</v>
      </c>
      <c r="D914" t="s">
        <v>3670</v>
      </c>
      <c r="E914" t="s">
        <v>3457</v>
      </c>
      <c r="H914" t="s">
        <v>1119</v>
      </c>
      <c r="I914" t="s">
        <v>3202</v>
      </c>
      <c r="L914" t="s">
        <v>3991</v>
      </c>
      <c r="M914" t="s">
        <v>3991</v>
      </c>
    </row>
    <row r="915" spans="1:13" x14ac:dyDescent="0.3">
      <c r="A915" t="s">
        <v>3884</v>
      </c>
      <c r="B915" t="s">
        <v>3336</v>
      </c>
      <c r="D915" t="s">
        <v>3671</v>
      </c>
      <c r="E915" t="s">
        <v>3458</v>
      </c>
      <c r="H915" t="s">
        <v>3203</v>
      </c>
      <c r="I915" t="s">
        <v>3204</v>
      </c>
      <c r="L915" t="s">
        <v>4006</v>
      </c>
      <c r="M915" t="s">
        <v>4006</v>
      </c>
    </row>
    <row r="916" spans="1:13" x14ac:dyDescent="0.3">
      <c r="A916" t="s">
        <v>3885</v>
      </c>
      <c r="B916" t="s">
        <v>3336</v>
      </c>
      <c r="D916" t="s">
        <v>3672</v>
      </c>
      <c r="E916" t="s">
        <v>3459</v>
      </c>
      <c r="H916" t="s">
        <v>3205</v>
      </c>
      <c r="I916" t="s">
        <v>3102</v>
      </c>
      <c r="L916" t="s">
        <v>4074</v>
      </c>
      <c r="M916" t="s">
        <v>4074</v>
      </c>
    </row>
    <row r="917" spans="1:13" x14ac:dyDescent="0.3">
      <c r="A917" t="s">
        <v>3886</v>
      </c>
      <c r="B917" t="s">
        <v>3336</v>
      </c>
      <c r="D917" t="s">
        <v>3673</v>
      </c>
      <c r="E917" t="s">
        <v>3460</v>
      </c>
      <c r="H917" t="s">
        <v>3206</v>
      </c>
      <c r="I917" t="s">
        <v>2488</v>
      </c>
      <c r="L917" t="s">
        <v>4075</v>
      </c>
      <c r="M917" t="s">
        <v>4075</v>
      </c>
    </row>
    <row r="918" spans="1:13" x14ac:dyDescent="0.3">
      <c r="A918" t="s">
        <v>3887</v>
      </c>
      <c r="B918" t="s">
        <v>3336</v>
      </c>
      <c r="D918" t="s">
        <v>3674</v>
      </c>
      <c r="E918" t="s">
        <v>3461</v>
      </c>
      <c r="H918" t="s">
        <v>3207</v>
      </c>
      <c r="I918" t="s">
        <v>3208</v>
      </c>
      <c r="L918" t="s">
        <v>4076</v>
      </c>
      <c r="M918" t="s">
        <v>4076</v>
      </c>
    </row>
    <row r="919" spans="1:13" x14ac:dyDescent="0.3">
      <c r="A919" t="s">
        <v>3888</v>
      </c>
      <c r="B919" t="s">
        <v>3336</v>
      </c>
      <c r="D919" t="s">
        <v>3675</v>
      </c>
      <c r="E919" t="s">
        <v>3462</v>
      </c>
      <c r="H919" t="s">
        <v>3209</v>
      </c>
      <c r="I919" t="s">
        <v>3210</v>
      </c>
      <c r="L919" t="s">
        <v>4077</v>
      </c>
      <c r="M919" t="s">
        <v>4077</v>
      </c>
    </row>
    <row r="920" spans="1:13" x14ac:dyDescent="0.3">
      <c r="A920" t="s">
        <v>3889</v>
      </c>
      <c r="B920" t="s">
        <v>3336</v>
      </c>
      <c r="D920" t="s">
        <v>3676</v>
      </c>
      <c r="E920" t="s">
        <v>3463</v>
      </c>
      <c r="H920" t="s">
        <v>3211</v>
      </c>
      <c r="I920" t="s">
        <v>3212</v>
      </c>
      <c r="L920" t="s">
        <v>4012</v>
      </c>
      <c r="M920" t="s">
        <v>4012</v>
      </c>
    </row>
    <row r="921" spans="1:13" x14ac:dyDescent="0.3">
      <c r="A921" t="s">
        <v>3890</v>
      </c>
      <c r="B921" t="s">
        <v>3336</v>
      </c>
      <c r="D921" t="s">
        <v>3677</v>
      </c>
      <c r="E921" t="s">
        <v>3464</v>
      </c>
      <c r="H921" t="s">
        <v>3213</v>
      </c>
      <c r="I921" t="s">
        <v>3214</v>
      </c>
      <c r="L921" t="s">
        <v>4078</v>
      </c>
      <c r="M921" t="s">
        <v>4078</v>
      </c>
    </row>
    <row r="922" spans="1:13" x14ac:dyDescent="0.3">
      <c r="A922" t="s">
        <v>3891</v>
      </c>
      <c r="B922" t="s">
        <v>3336</v>
      </c>
      <c r="D922" t="s">
        <v>3678</v>
      </c>
      <c r="E922" t="s">
        <v>3465</v>
      </c>
      <c r="H922" t="s">
        <v>1161</v>
      </c>
      <c r="I922" t="s">
        <v>3215</v>
      </c>
      <c r="L922" t="s">
        <v>4079</v>
      </c>
      <c r="M922" t="s">
        <v>4079</v>
      </c>
    </row>
    <row r="923" spans="1:13" x14ac:dyDescent="0.3">
      <c r="A923" t="s">
        <v>3892</v>
      </c>
      <c r="B923" t="s">
        <v>3336</v>
      </c>
      <c r="D923" t="s">
        <v>3679</v>
      </c>
      <c r="E923" t="s">
        <v>3466</v>
      </c>
      <c r="H923" t="s">
        <v>1270</v>
      </c>
      <c r="I923" t="s">
        <v>3216</v>
      </c>
      <c r="L923" t="s">
        <v>4080</v>
      </c>
      <c r="M923" t="s">
        <v>4080</v>
      </c>
    </row>
    <row r="924" spans="1:13" x14ac:dyDescent="0.3">
      <c r="A924" t="s">
        <v>3893</v>
      </c>
      <c r="B924" t="s">
        <v>3336</v>
      </c>
      <c r="D924" t="s">
        <v>3680</v>
      </c>
      <c r="E924" t="s">
        <v>3467</v>
      </c>
      <c r="H924" t="s">
        <v>3217</v>
      </c>
      <c r="I924" t="s">
        <v>3218</v>
      </c>
      <c r="L924" t="s">
        <v>4081</v>
      </c>
      <c r="M924" t="s">
        <v>4081</v>
      </c>
    </row>
    <row r="925" spans="1:13" x14ac:dyDescent="0.3">
      <c r="A925" t="s">
        <v>3894</v>
      </c>
      <c r="B925" t="s">
        <v>3336</v>
      </c>
      <c r="D925" t="s">
        <v>3681</v>
      </c>
      <c r="E925" t="s">
        <v>3468</v>
      </c>
      <c r="H925" t="s">
        <v>1269</v>
      </c>
      <c r="I925" t="s">
        <v>3219</v>
      </c>
      <c r="L925" t="s">
        <v>4082</v>
      </c>
      <c r="M925" t="s">
        <v>4082</v>
      </c>
    </row>
    <row r="926" spans="1:13" x14ac:dyDescent="0.3">
      <c r="A926" t="s">
        <v>3895</v>
      </c>
      <c r="B926" t="s">
        <v>3336</v>
      </c>
      <c r="D926" t="s">
        <v>3682</v>
      </c>
      <c r="E926" t="s">
        <v>3469</v>
      </c>
      <c r="H926" t="s">
        <v>1113</v>
      </c>
      <c r="I926" t="s">
        <v>3220</v>
      </c>
      <c r="L926" t="s">
        <v>4083</v>
      </c>
      <c r="M926" t="s">
        <v>4083</v>
      </c>
    </row>
    <row r="927" spans="1:13" x14ac:dyDescent="0.3">
      <c r="A927" t="s">
        <v>3896</v>
      </c>
      <c r="B927" t="s">
        <v>3336</v>
      </c>
      <c r="D927" t="s">
        <v>3683</v>
      </c>
      <c r="E927" t="s">
        <v>3470</v>
      </c>
      <c r="H927" t="s">
        <v>3221</v>
      </c>
      <c r="I927" t="s">
        <v>1212</v>
      </c>
      <c r="L927" t="s">
        <v>4084</v>
      </c>
      <c r="M927" t="s">
        <v>4084</v>
      </c>
    </row>
    <row r="928" spans="1:13" x14ac:dyDescent="0.3">
      <c r="A928" t="s">
        <v>3897</v>
      </c>
      <c r="B928" t="s">
        <v>3336</v>
      </c>
      <c r="D928" t="s">
        <v>3684</v>
      </c>
      <c r="E928" t="s">
        <v>3471</v>
      </c>
      <c r="H928" t="s">
        <v>3222</v>
      </c>
      <c r="I928" t="s">
        <v>3223</v>
      </c>
      <c r="L928" t="s">
        <v>4085</v>
      </c>
      <c r="M928" t="s">
        <v>4085</v>
      </c>
    </row>
    <row r="929" spans="1:13" x14ac:dyDescent="0.3">
      <c r="A929" t="s">
        <v>3898</v>
      </c>
      <c r="B929" t="s">
        <v>3336</v>
      </c>
      <c r="D929" t="s">
        <v>3685</v>
      </c>
      <c r="E929" t="s">
        <v>3472</v>
      </c>
      <c r="H929" t="s">
        <v>3224</v>
      </c>
      <c r="I929" t="s">
        <v>3225</v>
      </c>
      <c r="L929" t="s">
        <v>4086</v>
      </c>
      <c r="M929" t="s">
        <v>4086</v>
      </c>
    </row>
    <row r="930" spans="1:13" x14ac:dyDescent="0.3">
      <c r="A930" t="s">
        <v>3899</v>
      </c>
      <c r="B930" t="s">
        <v>3336</v>
      </c>
      <c r="D930" t="s">
        <v>3686</v>
      </c>
      <c r="E930" t="s">
        <v>3473</v>
      </c>
      <c r="H930" t="s">
        <v>18</v>
      </c>
      <c r="I930" t="s">
        <v>1251</v>
      </c>
      <c r="L930" t="s">
        <v>2343</v>
      </c>
      <c r="M930" t="s">
        <v>2343</v>
      </c>
    </row>
    <row r="931" spans="1:13" x14ac:dyDescent="0.3">
      <c r="A931" t="s">
        <v>3900</v>
      </c>
      <c r="B931" t="s">
        <v>3336</v>
      </c>
      <c r="D931" t="s">
        <v>3687</v>
      </c>
      <c r="E931" t="s">
        <v>3474</v>
      </c>
      <c r="H931" t="s">
        <v>3226</v>
      </c>
      <c r="I931" t="s">
        <v>3227</v>
      </c>
      <c r="L931" t="s">
        <v>4006</v>
      </c>
      <c r="M931" t="s">
        <v>4006</v>
      </c>
    </row>
    <row r="932" spans="1:13" x14ac:dyDescent="0.3">
      <c r="A932" t="s">
        <v>3901</v>
      </c>
      <c r="B932" t="s">
        <v>3336</v>
      </c>
      <c r="D932" t="s">
        <v>3688</v>
      </c>
      <c r="E932" t="s">
        <v>3475</v>
      </c>
      <c r="H932" t="s">
        <v>1084</v>
      </c>
      <c r="I932" t="s">
        <v>3228</v>
      </c>
      <c r="L932" t="s">
        <v>4074</v>
      </c>
      <c r="M932" t="s">
        <v>4074</v>
      </c>
    </row>
    <row r="933" spans="1:13" x14ac:dyDescent="0.3">
      <c r="A933" t="s">
        <v>3902</v>
      </c>
      <c r="B933" t="s">
        <v>3336</v>
      </c>
      <c r="D933" t="s">
        <v>3689</v>
      </c>
      <c r="E933" t="s">
        <v>3476</v>
      </c>
      <c r="H933" t="s">
        <v>2848</v>
      </c>
      <c r="I933" t="s">
        <v>3229</v>
      </c>
      <c r="L933" t="s">
        <v>4070</v>
      </c>
      <c r="M933" t="s">
        <v>4070</v>
      </c>
    </row>
    <row r="934" spans="1:13" x14ac:dyDescent="0.3">
      <c r="A934" t="s">
        <v>3903</v>
      </c>
      <c r="B934" t="s">
        <v>3336</v>
      </c>
      <c r="D934" t="s">
        <v>3690</v>
      </c>
      <c r="E934" t="s">
        <v>3477</v>
      </c>
      <c r="H934" t="s">
        <v>1259</v>
      </c>
      <c r="I934" t="s">
        <v>3230</v>
      </c>
      <c r="L934" t="s">
        <v>4087</v>
      </c>
      <c r="M934" t="s">
        <v>4087</v>
      </c>
    </row>
    <row r="935" spans="1:13" x14ac:dyDescent="0.3">
      <c r="A935" t="s">
        <v>3904</v>
      </c>
      <c r="B935" t="s">
        <v>3336</v>
      </c>
      <c r="D935" t="s">
        <v>3691</v>
      </c>
      <c r="E935" t="s">
        <v>3478</v>
      </c>
      <c r="H935" t="s">
        <v>3231</v>
      </c>
      <c r="I935" t="s">
        <v>3232</v>
      </c>
      <c r="L935" t="s">
        <v>4088</v>
      </c>
      <c r="M935" t="s">
        <v>4088</v>
      </c>
    </row>
    <row r="936" spans="1:13" x14ac:dyDescent="0.3">
      <c r="A936" t="s">
        <v>3905</v>
      </c>
      <c r="B936" t="s">
        <v>3336</v>
      </c>
      <c r="D936" t="s">
        <v>3692</v>
      </c>
      <c r="E936" t="s">
        <v>3479</v>
      </c>
      <c r="H936" t="s">
        <v>2212</v>
      </c>
      <c r="I936" t="s">
        <v>3233</v>
      </c>
      <c r="L936" t="s">
        <v>4089</v>
      </c>
      <c r="M936" t="s">
        <v>4089</v>
      </c>
    </row>
    <row r="937" spans="1:13" x14ac:dyDescent="0.3">
      <c r="A937" t="s">
        <v>3906</v>
      </c>
      <c r="B937" t="s">
        <v>3336</v>
      </c>
      <c r="D937" t="s">
        <v>3693</v>
      </c>
      <c r="E937" t="s">
        <v>3480</v>
      </c>
      <c r="H937" t="s">
        <v>3234</v>
      </c>
      <c r="I937" t="s">
        <v>3235</v>
      </c>
      <c r="L937" t="s">
        <v>4090</v>
      </c>
      <c r="M937" t="s">
        <v>4090</v>
      </c>
    </row>
    <row r="938" spans="1:13" x14ac:dyDescent="0.3">
      <c r="A938" t="s">
        <v>3907</v>
      </c>
      <c r="B938" t="s">
        <v>3336</v>
      </c>
      <c r="D938" t="s">
        <v>3694</v>
      </c>
      <c r="E938" t="s">
        <v>3481</v>
      </c>
      <c r="H938" t="s">
        <v>1127</v>
      </c>
      <c r="I938" t="s">
        <v>2924</v>
      </c>
      <c r="L938" t="s">
        <v>4091</v>
      </c>
      <c r="M938" t="s">
        <v>4091</v>
      </c>
    </row>
    <row r="939" spans="1:13" x14ac:dyDescent="0.3">
      <c r="A939" t="s">
        <v>3908</v>
      </c>
      <c r="B939" t="s">
        <v>3336</v>
      </c>
      <c r="D939" t="s">
        <v>3695</v>
      </c>
      <c r="E939" t="s">
        <v>3482</v>
      </c>
      <c r="H939" t="s">
        <v>3236</v>
      </c>
      <c r="I939" t="s">
        <v>3237</v>
      </c>
      <c r="L939" t="s">
        <v>4092</v>
      </c>
      <c r="M939" t="s">
        <v>4092</v>
      </c>
    </row>
    <row r="940" spans="1:13" x14ac:dyDescent="0.3">
      <c r="A940" t="s">
        <v>3909</v>
      </c>
      <c r="B940" t="s">
        <v>3337</v>
      </c>
      <c r="D940" t="s">
        <v>3696</v>
      </c>
      <c r="E940" t="s">
        <v>3483</v>
      </c>
      <c r="H940" t="s">
        <v>2556</v>
      </c>
      <c r="I940" t="s">
        <v>3238</v>
      </c>
      <c r="L940" t="s">
        <v>4093</v>
      </c>
      <c r="M940" t="s">
        <v>4093</v>
      </c>
    </row>
    <row r="941" spans="1:13" x14ac:dyDescent="0.3">
      <c r="A941" t="s">
        <v>3910</v>
      </c>
      <c r="B941" t="s">
        <v>3337</v>
      </c>
      <c r="D941" t="s">
        <v>3697</v>
      </c>
      <c r="E941" t="s">
        <v>3484</v>
      </c>
      <c r="H941" t="s">
        <v>1200</v>
      </c>
      <c r="I941" t="s">
        <v>3239</v>
      </c>
      <c r="L941" t="s">
        <v>3991</v>
      </c>
      <c r="M941" t="s">
        <v>3991</v>
      </c>
    </row>
    <row r="942" spans="1:13" x14ac:dyDescent="0.3">
      <c r="A942" t="s">
        <v>3911</v>
      </c>
      <c r="B942" t="s">
        <v>3337</v>
      </c>
      <c r="D942" t="s">
        <v>3698</v>
      </c>
      <c r="E942" t="s">
        <v>3485</v>
      </c>
      <c r="H942" t="s">
        <v>3240</v>
      </c>
      <c r="I942" t="s">
        <v>3241</v>
      </c>
      <c r="L942" t="s">
        <v>4031</v>
      </c>
      <c r="M942" t="s">
        <v>4031</v>
      </c>
    </row>
    <row r="943" spans="1:13" x14ac:dyDescent="0.3">
      <c r="A943" t="s">
        <v>3912</v>
      </c>
      <c r="B943" t="s">
        <v>3337</v>
      </c>
      <c r="D943" t="s">
        <v>3699</v>
      </c>
      <c r="E943" t="s">
        <v>3486</v>
      </c>
      <c r="H943" t="s">
        <v>3242</v>
      </c>
      <c r="I943" t="s">
        <v>3243</v>
      </c>
      <c r="L943" t="s">
        <v>4094</v>
      </c>
      <c r="M943" t="s">
        <v>4094</v>
      </c>
    </row>
    <row r="944" spans="1:13" x14ac:dyDescent="0.3">
      <c r="A944" t="s">
        <v>3913</v>
      </c>
      <c r="B944" t="s">
        <v>3337</v>
      </c>
      <c r="D944" t="s">
        <v>3700</v>
      </c>
      <c r="E944" t="s">
        <v>3487</v>
      </c>
      <c r="H944" t="s">
        <v>2749</v>
      </c>
      <c r="I944" t="s">
        <v>3244</v>
      </c>
      <c r="L944" t="s">
        <v>4095</v>
      </c>
      <c r="M944" t="s">
        <v>4095</v>
      </c>
    </row>
    <row r="945" spans="1:13" x14ac:dyDescent="0.3">
      <c r="A945" t="s">
        <v>3914</v>
      </c>
      <c r="B945" t="s">
        <v>3337</v>
      </c>
      <c r="D945" t="s">
        <v>3701</v>
      </c>
      <c r="E945" t="s">
        <v>3488</v>
      </c>
      <c r="H945" t="s">
        <v>3086</v>
      </c>
      <c r="I945" t="s">
        <v>3245</v>
      </c>
      <c r="L945" t="s">
        <v>4050</v>
      </c>
      <c r="M945" t="s">
        <v>4050</v>
      </c>
    </row>
    <row r="946" spans="1:13" x14ac:dyDescent="0.3">
      <c r="A946" t="s">
        <v>3915</v>
      </c>
      <c r="B946" t="s">
        <v>3337</v>
      </c>
      <c r="D946" t="s">
        <v>3702</v>
      </c>
      <c r="E946" t="s">
        <v>3489</v>
      </c>
      <c r="H946" t="s">
        <v>3246</v>
      </c>
      <c r="I946" t="s">
        <v>3247</v>
      </c>
      <c r="L946" t="s">
        <v>4096</v>
      </c>
      <c r="M946" t="s">
        <v>4096</v>
      </c>
    </row>
    <row r="947" spans="1:13" x14ac:dyDescent="0.3">
      <c r="A947" t="s">
        <v>3916</v>
      </c>
      <c r="B947" t="s">
        <v>3337</v>
      </c>
      <c r="D947" t="s">
        <v>3703</v>
      </c>
      <c r="E947" t="s">
        <v>3490</v>
      </c>
      <c r="H947" t="s">
        <v>1157</v>
      </c>
      <c r="I947" t="s">
        <v>1264</v>
      </c>
      <c r="L947" t="s">
        <v>4080</v>
      </c>
      <c r="M947" t="s">
        <v>4080</v>
      </c>
    </row>
    <row r="948" spans="1:13" x14ac:dyDescent="0.3">
      <c r="A948" t="s">
        <v>3917</v>
      </c>
      <c r="B948" t="s">
        <v>3337</v>
      </c>
      <c r="D948" t="s">
        <v>3704</v>
      </c>
      <c r="E948" t="s">
        <v>3491</v>
      </c>
      <c r="H948" t="s">
        <v>1133</v>
      </c>
      <c r="I948" t="s">
        <v>2919</v>
      </c>
      <c r="L948" t="s">
        <v>4097</v>
      </c>
      <c r="M948" t="s">
        <v>4097</v>
      </c>
    </row>
    <row r="949" spans="1:13" x14ac:dyDescent="0.3">
      <c r="A949" t="s">
        <v>3918</v>
      </c>
      <c r="B949" t="s">
        <v>3337</v>
      </c>
      <c r="D949" t="s">
        <v>3705</v>
      </c>
      <c r="E949" t="s">
        <v>3492</v>
      </c>
      <c r="H949" t="s">
        <v>1119</v>
      </c>
      <c r="I949" t="s">
        <v>3248</v>
      </c>
      <c r="L949" t="s">
        <v>4098</v>
      </c>
      <c r="M949" t="s">
        <v>4098</v>
      </c>
    </row>
    <row r="950" spans="1:13" x14ac:dyDescent="0.3">
      <c r="A950" t="s">
        <v>3919</v>
      </c>
      <c r="B950" t="s">
        <v>3337</v>
      </c>
      <c r="D950" t="s">
        <v>3706</v>
      </c>
      <c r="E950" t="s">
        <v>3493</v>
      </c>
      <c r="H950" t="s">
        <v>3249</v>
      </c>
      <c r="I950" t="s">
        <v>1176</v>
      </c>
      <c r="L950" t="s">
        <v>4036</v>
      </c>
      <c r="M950" t="s">
        <v>4036</v>
      </c>
    </row>
    <row r="951" spans="1:13" x14ac:dyDescent="0.3">
      <c r="A951" t="s">
        <v>3920</v>
      </c>
      <c r="B951" t="s">
        <v>3337</v>
      </c>
      <c r="D951" t="s">
        <v>3707</v>
      </c>
      <c r="E951" t="s">
        <v>3494</v>
      </c>
      <c r="H951" t="s">
        <v>3250</v>
      </c>
      <c r="I951" t="s">
        <v>3251</v>
      </c>
      <c r="L951" t="s">
        <v>4099</v>
      </c>
      <c r="M951" t="s">
        <v>4099</v>
      </c>
    </row>
    <row r="952" spans="1:13" x14ac:dyDescent="0.3">
      <c r="A952" t="s">
        <v>3921</v>
      </c>
      <c r="B952" t="s">
        <v>3337</v>
      </c>
      <c r="D952" t="s">
        <v>3708</v>
      </c>
      <c r="E952" t="s">
        <v>3495</v>
      </c>
      <c r="H952" t="s">
        <v>2280</v>
      </c>
      <c r="I952" t="s">
        <v>2407</v>
      </c>
      <c r="L952" t="s">
        <v>4017</v>
      </c>
      <c r="M952" t="s">
        <v>4017</v>
      </c>
    </row>
    <row r="953" spans="1:13" x14ac:dyDescent="0.3">
      <c r="A953" t="s">
        <v>3922</v>
      </c>
      <c r="B953" t="s">
        <v>3338</v>
      </c>
      <c r="D953" t="s">
        <v>3709</v>
      </c>
      <c r="E953" t="s">
        <v>3496</v>
      </c>
      <c r="H953" t="s">
        <v>3252</v>
      </c>
      <c r="I953" t="s">
        <v>3253</v>
      </c>
      <c r="L953" t="s">
        <v>4100</v>
      </c>
      <c r="M953" t="s">
        <v>4100</v>
      </c>
    </row>
    <row r="954" spans="1:13" x14ac:dyDescent="0.3">
      <c r="A954" t="s">
        <v>3923</v>
      </c>
      <c r="B954" t="s">
        <v>3338</v>
      </c>
      <c r="D954" t="s">
        <v>3710</v>
      </c>
      <c r="E954" t="s">
        <v>3497</v>
      </c>
      <c r="H954" t="s">
        <v>3254</v>
      </c>
      <c r="I954" t="s">
        <v>3255</v>
      </c>
      <c r="L954" t="s">
        <v>4101</v>
      </c>
      <c r="M954" t="s">
        <v>4101</v>
      </c>
    </row>
    <row r="955" spans="1:13" x14ac:dyDescent="0.3">
      <c r="A955" t="s">
        <v>3924</v>
      </c>
      <c r="B955" t="s">
        <v>3338</v>
      </c>
      <c r="D955" t="s">
        <v>3711</v>
      </c>
      <c r="E955" t="s">
        <v>3498</v>
      </c>
      <c r="H955" t="s">
        <v>3256</v>
      </c>
      <c r="I955" t="s">
        <v>3257</v>
      </c>
      <c r="L955" t="s">
        <v>4101</v>
      </c>
      <c r="M955" t="s">
        <v>4101</v>
      </c>
    </row>
    <row r="956" spans="1:13" x14ac:dyDescent="0.3">
      <c r="A956" t="s">
        <v>3925</v>
      </c>
      <c r="B956" t="s">
        <v>3338</v>
      </c>
      <c r="D956" t="s">
        <v>3712</v>
      </c>
      <c r="E956" t="s">
        <v>3499</v>
      </c>
      <c r="H956" t="s">
        <v>3258</v>
      </c>
      <c r="I956" t="s">
        <v>3259</v>
      </c>
      <c r="L956" t="s">
        <v>4074</v>
      </c>
      <c r="M956" t="s">
        <v>4074</v>
      </c>
    </row>
    <row r="957" spans="1:13" x14ac:dyDescent="0.3">
      <c r="A957" t="s">
        <v>3926</v>
      </c>
      <c r="B957" t="s">
        <v>3338</v>
      </c>
      <c r="D957" t="s">
        <v>3713</v>
      </c>
      <c r="E957" t="s">
        <v>3500</v>
      </c>
      <c r="H957" t="s">
        <v>3260</v>
      </c>
      <c r="I957" t="s">
        <v>3261</v>
      </c>
      <c r="L957" t="s">
        <v>4102</v>
      </c>
      <c r="M957" t="s">
        <v>4102</v>
      </c>
    </row>
    <row r="958" spans="1:13" x14ac:dyDescent="0.3">
      <c r="A958" t="s">
        <v>3927</v>
      </c>
      <c r="B958" t="s">
        <v>3338</v>
      </c>
      <c r="D958" t="s">
        <v>3714</v>
      </c>
      <c r="E958" t="s">
        <v>3501</v>
      </c>
      <c r="H958" t="s">
        <v>3262</v>
      </c>
      <c r="I958" t="s">
        <v>3263</v>
      </c>
      <c r="L958" t="s">
        <v>4101</v>
      </c>
      <c r="M958" t="s">
        <v>4101</v>
      </c>
    </row>
    <row r="959" spans="1:13" x14ac:dyDescent="0.3">
      <c r="A959" t="s">
        <v>3928</v>
      </c>
      <c r="B959" t="s">
        <v>3339</v>
      </c>
      <c r="D959" t="s">
        <v>3715</v>
      </c>
      <c r="E959" t="s">
        <v>3502</v>
      </c>
      <c r="H959" t="s">
        <v>1370</v>
      </c>
      <c r="I959" t="s">
        <v>3264</v>
      </c>
      <c r="L959" t="s">
        <v>4103</v>
      </c>
      <c r="M959" t="s">
        <v>4103</v>
      </c>
    </row>
    <row r="960" spans="1:13" x14ac:dyDescent="0.3">
      <c r="A960" t="s">
        <v>3929</v>
      </c>
      <c r="B960" t="s">
        <v>3339</v>
      </c>
      <c r="D960" t="s">
        <v>3716</v>
      </c>
      <c r="E960" t="s">
        <v>3503</v>
      </c>
      <c r="H960" t="s">
        <v>3265</v>
      </c>
      <c r="I960" t="s">
        <v>3266</v>
      </c>
      <c r="L960" t="s">
        <v>4074</v>
      </c>
      <c r="M960" t="s">
        <v>4074</v>
      </c>
    </row>
    <row r="961" spans="1:13" x14ac:dyDescent="0.3">
      <c r="A961" t="s">
        <v>3930</v>
      </c>
      <c r="B961" t="s">
        <v>3339</v>
      </c>
      <c r="D961" t="s">
        <v>3717</v>
      </c>
      <c r="E961" t="s">
        <v>3504</v>
      </c>
      <c r="H961" t="s">
        <v>1143</v>
      </c>
      <c r="I961" t="s">
        <v>3267</v>
      </c>
      <c r="L961" t="s">
        <v>4104</v>
      </c>
      <c r="M961" t="s">
        <v>4104</v>
      </c>
    </row>
    <row r="962" spans="1:13" x14ac:dyDescent="0.3">
      <c r="A962" t="s">
        <v>3931</v>
      </c>
      <c r="B962" t="s">
        <v>3340</v>
      </c>
      <c r="D962" t="s">
        <v>3718</v>
      </c>
      <c r="E962" t="s">
        <v>3505</v>
      </c>
      <c r="H962" t="s">
        <v>3268</v>
      </c>
      <c r="I962" t="s">
        <v>3269</v>
      </c>
      <c r="L962" t="s">
        <v>4105</v>
      </c>
      <c r="M962" t="s">
        <v>4105</v>
      </c>
    </row>
    <row r="963" spans="1:13" x14ac:dyDescent="0.3">
      <c r="A963" t="s">
        <v>3932</v>
      </c>
      <c r="B963" t="s">
        <v>3340</v>
      </c>
      <c r="D963" t="s">
        <v>3719</v>
      </c>
      <c r="E963" t="s">
        <v>3506</v>
      </c>
      <c r="H963" t="s">
        <v>2851</v>
      </c>
      <c r="I963" t="s">
        <v>3270</v>
      </c>
      <c r="L963" t="s">
        <v>4106</v>
      </c>
      <c r="M963" t="s">
        <v>4106</v>
      </c>
    </row>
    <row r="964" spans="1:13" x14ac:dyDescent="0.3">
      <c r="A964" t="s">
        <v>3933</v>
      </c>
      <c r="B964" t="s">
        <v>3340</v>
      </c>
      <c r="D964" t="s">
        <v>3720</v>
      </c>
      <c r="E964" t="s">
        <v>3507</v>
      </c>
      <c r="H964" t="s">
        <v>1169</v>
      </c>
      <c r="I964" t="s">
        <v>3271</v>
      </c>
      <c r="L964" t="s">
        <v>4107</v>
      </c>
      <c r="M964" t="s">
        <v>4107</v>
      </c>
    </row>
    <row r="965" spans="1:13" x14ac:dyDescent="0.3">
      <c r="A965" t="s">
        <v>3934</v>
      </c>
      <c r="B965" t="s">
        <v>3340</v>
      </c>
      <c r="D965" t="s">
        <v>3721</v>
      </c>
      <c r="E965" t="s">
        <v>3508</v>
      </c>
      <c r="H965" t="s">
        <v>1162</v>
      </c>
      <c r="I965" t="s">
        <v>3272</v>
      </c>
      <c r="L965" t="s">
        <v>4108</v>
      </c>
      <c r="M965" t="s">
        <v>4108</v>
      </c>
    </row>
    <row r="966" spans="1:13" x14ac:dyDescent="0.3">
      <c r="A966" t="s">
        <v>3935</v>
      </c>
      <c r="B966" t="s">
        <v>3341</v>
      </c>
      <c r="D966" t="s">
        <v>3722</v>
      </c>
      <c r="E966" t="s">
        <v>3509</v>
      </c>
      <c r="H966" t="s">
        <v>3273</v>
      </c>
      <c r="I966" t="s">
        <v>3274</v>
      </c>
      <c r="L966" t="s">
        <v>4109</v>
      </c>
      <c r="M966" t="s">
        <v>4109</v>
      </c>
    </row>
    <row r="967" spans="1:13" x14ac:dyDescent="0.3">
      <c r="A967" t="s">
        <v>3936</v>
      </c>
      <c r="B967" t="s">
        <v>3341</v>
      </c>
      <c r="D967" t="s">
        <v>3723</v>
      </c>
      <c r="E967" t="s">
        <v>3510</v>
      </c>
      <c r="H967" t="s">
        <v>2650</v>
      </c>
      <c r="I967" t="s">
        <v>2620</v>
      </c>
      <c r="L967" t="s">
        <v>4110</v>
      </c>
      <c r="M967" t="s">
        <v>4110</v>
      </c>
    </row>
    <row r="968" spans="1:13" x14ac:dyDescent="0.3">
      <c r="A968" t="s">
        <v>3937</v>
      </c>
      <c r="B968" t="s">
        <v>3341</v>
      </c>
      <c r="D968" t="s">
        <v>3724</v>
      </c>
      <c r="E968" t="s">
        <v>3511</v>
      </c>
      <c r="H968" t="s">
        <v>2556</v>
      </c>
      <c r="I968" t="s">
        <v>3275</v>
      </c>
      <c r="L968" t="s">
        <v>4033</v>
      </c>
      <c r="M968" t="s">
        <v>4033</v>
      </c>
    </row>
    <row r="969" spans="1:13" x14ac:dyDescent="0.3">
      <c r="A969" t="s">
        <v>3938</v>
      </c>
      <c r="B969" t="s">
        <v>3341</v>
      </c>
      <c r="D969" t="s">
        <v>3725</v>
      </c>
      <c r="E969" t="s">
        <v>3512</v>
      </c>
      <c r="H969" t="s">
        <v>2425</v>
      </c>
      <c r="I969" t="s">
        <v>1227</v>
      </c>
      <c r="L969" t="s">
        <v>4110</v>
      </c>
      <c r="M969" t="s">
        <v>4110</v>
      </c>
    </row>
    <row r="970" spans="1:13" x14ac:dyDescent="0.3">
      <c r="A970" t="s">
        <v>3939</v>
      </c>
      <c r="B970" t="s">
        <v>3341</v>
      </c>
      <c r="D970" t="s">
        <v>3726</v>
      </c>
      <c r="E970" t="s">
        <v>3513</v>
      </c>
      <c r="H970" t="s">
        <v>2572</v>
      </c>
      <c r="I970" t="s">
        <v>3276</v>
      </c>
      <c r="L970" t="s">
        <v>4018</v>
      </c>
      <c r="M970" t="s">
        <v>4018</v>
      </c>
    </row>
    <row r="971" spans="1:13" x14ac:dyDescent="0.3">
      <c r="A971" t="s">
        <v>3940</v>
      </c>
      <c r="B971" t="s">
        <v>3341</v>
      </c>
      <c r="D971" t="s">
        <v>3727</v>
      </c>
      <c r="E971" t="s">
        <v>3514</v>
      </c>
      <c r="H971" t="s">
        <v>1129</v>
      </c>
      <c r="I971" t="s">
        <v>3277</v>
      </c>
      <c r="L971" t="s">
        <v>4111</v>
      </c>
      <c r="M971" t="s">
        <v>4111</v>
      </c>
    </row>
    <row r="972" spans="1:13" x14ac:dyDescent="0.3">
      <c r="A972" t="s">
        <v>3941</v>
      </c>
      <c r="B972" t="s">
        <v>3341</v>
      </c>
      <c r="D972" t="s">
        <v>3728</v>
      </c>
      <c r="E972" t="s">
        <v>3515</v>
      </c>
      <c r="H972" t="s">
        <v>2236</v>
      </c>
      <c r="I972" t="s">
        <v>3278</v>
      </c>
      <c r="L972" t="s">
        <v>4112</v>
      </c>
      <c r="M972" t="s">
        <v>4112</v>
      </c>
    </row>
    <row r="973" spans="1:13" x14ac:dyDescent="0.3">
      <c r="A973" t="s">
        <v>3942</v>
      </c>
      <c r="B973" t="s">
        <v>3341</v>
      </c>
      <c r="D973" t="s">
        <v>3729</v>
      </c>
      <c r="E973" t="s">
        <v>3516</v>
      </c>
      <c r="H973" t="s">
        <v>1241</v>
      </c>
      <c r="I973" t="s">
        <v>3279</v>
      </c>
      <c r="L973" t="s">
        <v>4113</v>
      </c>
      <c r="M973" t="s">
        <v>4113</v>
      </c>
    </row>
    <row r="974" spans="1:13" x14ac:dyDescent="0.3">
      <c r="A974" t="s">
        <v>3943</v>
      </c>
      <c r="B974" t="s">
        <v>3341</v>
      </c>
      <c r="D974" t="s">
        <v>3730</v>
      </c>
      <c r="E974" t="s">
        <v>3517</v>
      </c>
      <c r="H974" t="s">
        <v>3280</v>
      </c>
      <c r="I974" t="s">
        <v>3263</v>
      </c>
      <c r="L974" t="s">
        <v>4114</v>
      </c>
      <c r="M974" t="s">
        <v>4114</v>
      </c>
    </row>
    <row r="975" spans="1:13" x14ac:dyDescent="0.3">
      <c r="A975" t="s">
        <v>3944</v>
      </c>
      <c r="B975" t="s">
        <v>3341</v>
      </c>
      <c r="D975" t="s">
        <v>3731</v>
      </c>
      <c r="E975" t="s">
        <v>3518</v>
      </c>
      <c r="H975" t="s">
        <v>3281</v>
      </c>
      <c r="I975" t="s">
        <v>3282</v>
      </c>
      <c r="L975" t="s">
        <v>4095</v>
      </c>
      <c r="M975" t="s">
        <v>4095</v>
      </c>
    </row>
    <row r="976" spans="1:13" x14ac:dyDescent="0.3">
      <c r="A976" t="s">
        <v>3945</v>
      </c>
      <c r="B976" t="s">
        <v>3341</v>
      </c>
      <c r="D976" t="s">
        <v>3732</v>
      </c>
      <c r="E976" t="s">
        <v>3519</v>
      </c>
      <c r="H976" t="s">
        <v>3283</v>
      </c>
      <c r="I976" t="s">
        <v>3284</v>
      </c>
      <c r="L976" t="s">
        <v>4018</v>
      </c>
      <c r="M976" t="s">
        <v>4018</v>
      </c>
    </row>
    <row r="977" spans="1:13" x14ac:dyDescent="0.3">
      <c r="A977" t="s">
        <v>3946</v>
      </c>
      <c r="B977" t="s">
        <v>3341</v>
      </c>
      <c r="D977" t="s">
        <v>3733</v>
      </c>
      <c r="E977" t="s">
        <v>3520</v>
      </c>
      <c r="H977" t="s">
        <v>3285</v>
      </c>
      <c r="I977" t="s">
        <v>3286</v>
      </c>
      <c r="L977" t="s">
        <v>4033</v>
      </c>
      <c r="M977" t="s">
        <v>4033</v>
      </c>
    </row>
    <row r="978" spans="1:13" x14ac:dyDescent="0.3">
      <c r="A978" t="s">
        <v>3947</v>
      </c>
      <c r="B978" t="s">
        <v>3341</v>
      </c>
      <c r="D978" t="s">
        <v>3734</v>
      </c>
      <c r="E978" t="s">
        <v>3521</v>
      </c>
      <c r="H978" t="s">
        <v>3287</v>
      </c>
      <c r="I978" t="s">
        <v>2407</v>
      </c>
      <c r="L978" t="s">
        <v>4018</v>
      </c>
      <c r="M978" t="s">
        <v>4018</v>
      </c>
    </row>
    <row r="979" spans="1:13" x14ac:dyDescent="0.3">
      <c r="A979" t="s">
        <v>3948</v>
      </c>
      <c r="B979" t="s">
        <v>3341</v>
      </c>
      <c r="D979" t="s">
        <v>3735</v>
      </c>
      <c r="E979" t="s">
        <v>3522</v>
      </c>
      <c r="H979" t="s">
        <v>3288</v>
      </c>
      <c r="I979" t="s">
        <v>3289</v>
      </c>
      <c r="L979" t="s">
        <v>4115</v>
      </c>
      <c r="M979" t="s">
        <v>4115</v>
      </c>
    </row>
    <row r="980" spans="1:13" x14ac:dyDescent="0.3">
      <c r="A980" t="s">
        <v>3949</v>
      </c>
      <c r="B980" t="s">
        <v>3341</v>
      </c>
      <c r="D980" t="s">
        <v>3736</v>
      </c>
      <c r="E980" t="s">
        <v>3523</v>
      </c>
      <c r="H980" t="s">
        <v>3290</v>
      </c>
      <c r="I980" t="s">
        <v>3291</v>
      </c>
      <c r="L980" t="s">
        <v>4116</v>
      </c>
      <c r="M980" t="s">
        <v>4116</v>
      </c>
    </row>
    <row r="981" spans="1:13" x14ac:dyDescent="0.3">
      <c r="A981" t="s">
        <v>3950</v>
      </c>
      <c r="B981" t="s">
        <v>3341</v>
      </c>
      <c r="D981" t="s">
        <v>3737</v>
      </c>
      <c r="E981" t="s">
        <v>3524</v>
      </c>
      <c r="H981" t="s">
        <v>1355</v>
      </c>
      <c r="I981" t="s">
        <v>3292</v>
      </c>
      <c r="L981" t="s">
        <v>4117</v>
      </c>
      <c r="M981" t="s">
        <v>4117</v>
      </c>
    </row>
    <row r="982" spans="1:13" x14ac:dyDescent="0.3">
      <c r="A982" t="s">
        <v>3951</v>
      </c>
      <c r="B982" t="s">
        <v>3341</v>
      </c>
      <c r="D982" t="s">
        <v>3738</v>
      </c>
      <c r="E982" t="s">
        <v>3525</v>
      </c>
      <c r="H982" t="s">
        <v>1141</v>
      </c>
      <c r="I982" t="s">
        <v>3293</v>
      </c>
      <c r="L982" t="s">
        <v>4118</v>
      </c>
      <c r="M982" t="s">
        <v>4118</v>
      </c>
    </row>
    <row r="983" spans="1:13" x14ac:dyDescent="0.3">
      <c r="A983" t="s">
        <v>3952</v>
      </c>
      <c r="B983" t="s">
        <v>3341</v>
      </c>
      <c r="D983" t="s">
        <v>3739</v>
      </c>
      <c r="E983" t="s">
        <v>3526</v>
      </c>
      <c r="H983" t="s">
        <v>1169</v>
      </c>
      <c r="I983" t="s">
        <v>3294</v>
      </c>
      <c r="L983" t="s">
        <v>4118</v>
      </c>
      <c r="M983" t="s">
        <v>4118</v>
      </c>
    </row>
    <row r="984" spans="1:13" x14ac:dyDescent="0.3">
      <c r="A984" t="s">
        <v>3953</v>
      </c>
      <c r="B984" t="s">
        <v>3341</v>
      </c>
      <c r="D984" t="s">
        <v>3740</v>
      </c>
      <c r="E984" t="s">
        <v>3527</v>
      </c>
      <c r="H984" t="s">
        <v>3295</v>
      </c>
      <c r="I984" t="s">
        <v>3296</v>
      </c>
      <c r="L984" t="s">
        <v>4119</v>
      </c>
      <c r="M984" t="s">
        <v>4119</v>
      </c>
    </row>
    <row r="985" spans="1:13" x14ac:dyDescent="0.3">
      <c r="A985" t="s">
        <v>3954</v>
      </c>
      <c r="B985" t="s">
        <v>3341</v>
      </c>
      <c r="D985" t="s">
        <v>3741</v>
      </c>
      <c r="E985" t="s">
        <v>3528</v>
      </c>
      <c r="H985" t="s">
        <v>3114</v>
      </c>
      <c r="I985" t="s">
        <v>3297</v>
      </c>
      <c r="L985" t="s">
        <v>4120</v>
      </c>
      <c r="M985" t="s">
        <v>4120</v>
      </c>
    </row>
    <row r="986" spans="1:13" x14ac:dyDescent="0.3">
      <c r="A986" t="s">
        <v>3955</v>
      </c>
      <c r="B986" t="s">
        <v>3341</v>
      </c>
      <c r="D986" t="s">
        <v>3742</v>
      </c>
      <c r="E986" t="s">
        <v>3529</v>
      </c>
      <c r="H986" t="s">
        <v>1161</v>
      </c>
      <c r="I986" t="s">
        <v>1131</v>
      </c>
      <c r="L986" t="s">
        <v>4078</v>
      </c>
      <c r="M986" t="s">
        <v>4078</v>
      </c>
    </row>
    <row r="987" spans="1:13" x14ac:dyDescent="0.3">
      <c r="A987" t="s">
        <v>3956</v>
      </c>
      <c r="B987" t="s">
        <v>3341</v>
      </c>
      <c r="D987" t="s">
        <v>3743</v>
      </c>
      <c r="E987" t="s">
        <v>3530</v>
      </c>
      <c r="H987" t="s">
        <v>3298</v>
      </c>
      <c r="I987" t="s">
        <v>3299</v>
      </c>
      <c r="L987" t="s">
        <v>4121</v>
      </c>
      <c r="M987" t="s">
        <v>4121</v>
      </c>
    </row>
    <row r="988" spans="1:13" x14ac:dyDescent="0.3">
      <c r="A988" t="s">
        <v>3957</v>
      </c>
      <c r="B988" t="s">
        <v>3341</v>
      </c>
      <c r="D988" t="s">
        <v>3744</v>
      </c>
      <c r="E988" t="s">
        <v>3531</v>
      </c>
      <c r="H988" t="s">
        <v>2577</v>
      </c>
      <c r="I988" t="s">
        <v>3300</v>
      </c>
      <c r="L988" t="s">
        <v>4122</v>
      </c>
      <c r="M988" t="s">
        <v>4122</v>
      </c>
    </row>
    <row r="989" spans="1:13" x14ac:dyDescent="0.3">
      <c r="A989" t="s">
        <v>3958</v>
      </c>
      <c r="B989" t="s">
        <v>3341</v>
      </c>
      <c r="D989" t="s">
        <v>3745</v>
      </c>
      <c r="E989" t="s">
        <v>3532</v>
      </c>
      <c r="H989" t="s">
        <v>1155</v>
      </c>
      <c r="I989" t="s">
        <v>3301</v>
      </c>
      <c r="L989" t="s">
        <v>4123</v>
      </c>
      <c r="M989" t="s">
        <v>4123</v>
      </c>
    </row>
    <row r="990" spans="1:13" x14ac:dyDescent="0.3">
      <c r="A990" t="s">
        <v>3959</v>
      </c>
      <c r="B990" t="s">
        <v>3341</v>
      </c>
      <c r="D990" t="s">
        <v>3746</v>
      </c>
      <c r="E990" t="s">
        <v>3533</v>
      </c>
      <c r="H990" t="s">
        <v>3302</v>
      </c>
      <c r="I990" t="s">
        <v>3303</v>
      </c>
      <c r="L990" t="s">
        <v>4124</v>
      </c>
      <c r="M990" t="s">
        <v>4124</v>
      </c>
    </row>
    <row r="991" spans="1:13" x14ac:dyDescent="0.3">
      <c r="A991" t="s">
        <v>3960</v>
      </c>
      <c r="B991" t="s">
        <v>3341</v>
      </c>
      <c r="D991" t="s">
        <v>3747</v>
      </c>
      <c r="E991" t="s">
        <v>3534</v>
      </c>
      <c r="H991" t="s">
        <v>3304</v>
      </c>
      <c r="I991" t="s">
        <v>3305</v>
      </c>
      <c r="L991" t="s">
        <v>4119</v>
      </c>
      <c r="M991" t="s">
        <v>4119</v>
      </c>
    </row>
    <row r="992" spans="1:13" x14ac:dyDescent="0.3">
      <c r="A992" t="s">
        <v>3961</v>
      </c>
      <c r="B992" t="s">
        <v>3341</v>
      </c>
      <c r="D992" t="s">
        <v>3748</v>
      </c>
      <c r="E992" t="s">
        <v>3535</v>
      </c>
      <c r="H992" t="s">
        <v>1259</v>
      </c>
      <c r="I992" t="s">
        <v>3306</v>
      </c>
      <c r="L992" t="s">
        <v>4125</v>
      </c>
      <c r="M992" t="s">
        <v>4125</v>
      </c>
    </row>
    <row r="993" spans="1:13" x14ac:dyDescent="0.3">
      <c r="A993" t="s">
        <v>3962</v>
      </c>
      <c r="B993" t="s">
        <v>3341</v>
      </c>
      <c r="D993" t="s">
        <v>3749</v>
      </c>
      <c r="E993" t="s">
        <v>3536</v>
      </c>
      <c r="H993" t="s">
        <v>2370</v>
      </c>
      <c r="I993" t="s">
        <v>3307</v>
      </c>
      <c r="L993" t="s">
        <v>4010</v>
      </c>
      <c r="M993" t="s">
        <v>4010</v>
      </c>
    </row>
    <row r="994" spans="1:13" x14ac:dyDescent="0.3">
      <c r="A994" t="s">
        <v>3963</v>
      </c>
      <c r="B994" t="s">
        <v>3342</v>
      </c>
      <c r="D994" t="s">
        <v>3750</v>
      </c>
      <c r="E994" t="s">
        <v>3537</v>
      </c>
      <c r="H994" t="s">
        <v>3308</v>
      </c>
      <c r="I994" t="s">
        <v>3309</v>
      </c>
      <c r="L994" t="s">
        <v>4126</v>
      </c>
      <c r="M994" t="s">
        <v>4126</v>
      </c>
    </row>
    <row r="995" spans="1:13" x14ac:dyDescent="0.3">
      <c r="A995" t="s">
        <v>3964</v>
      </c>
      <c r="B995" t="s">
        <v>3343</v>
      </c>
      <c r="D995" t="s">
        <v>3751</v>
      </c>
      <c r="E995" t="s">
        <v>3538</v>
      </c>
      <c r="H995" t="s">
        <v>2851</v>
      </c>
      <c r="I995" t="s">
        <v>3310</v>
      </c>
      <c r="L995" t="s">
        <v>4127</v>
      </c>
      <c r="M995" t="s">
        <v>4127</v>
      </c>
    </row>
    <row r="996" spans="1:13" x14ac:dyDescent="0.3">
      <c r="A996" t="s">
        <v>3965</v>
      </c>
      <c r="B996" t="s">
        <v>3343</v>
      </c>
      <c r="D996" t="s">
        <v>3752</v>
      </c>
      <c r="E996" t="s">
        <v>3539</v>
      </c>
      <c r="H996" t="s">
        <v>3311</v>
      </c>
      <c r="I996" t="s">
        <v>1172</v>
      </c>
      <c r="L996" t="s">
        <v>4128</v>
      </c>
      <c r="M996" t="s">
        <v>4128</v>
      </c>
    </row>
    <row r="997" spans="1:13" x14ac:dyDescent="0.3">
      <c r="A997" t="s">
        <v>3966</v>
      </c>
      <c r="B997" t="s">
        <v>3343</v>
      </c>
      <c r="D997" t="s">
        <v>3753</v>
      </c>
      <c r="E997" t="s">
        <v>3540</v>
      </c>
      <c r="H997" t="s">
        <v>1238</v>
      </c>
      <c r="I997" t="s">
        <v>3312</v>
      </c>
      <c r="L997" t="s">
        <v>4110</v>
      </c>
      <c r="M997" t="s">
        <v>4110</v>
      </c>
    </row>
    <row r="998" spans="1:13" x14ac:dyDescent="0.3">
      <c r="A998" t="s">
        <v>3967</v>
      </c>
      <c r="B998" t="s">
        <v>3344</v>
      </c>
      <c r="D998" t="s">
        <v>3754</v>
      </c>
      <c r="E998" t="s">
        <v>3541</v>
      </c>
      <c r="H998" t="s">
        <v>3203</v>
      </c>
      <c r="I998" t="s">
        <v>3313</v>
      </c>
      <c r="L998" t="s">
        <v>4006</v>
      </c>
      <c r="M998" t="s">
        <v>4006</v>
      </c>
    </row>
    <row r="999" spans="1:13" x14ac:dyDescent="0.3">
      <c r="A999" t="s">
        <v>3968</v>
      </c>
      <c r="B999" t="s">
        <v>3344</v>
      </c>
      <c r="D999" t="s">
        <v>3755</v>
      </c>
      <c r="E999" t="s">
        <v>3542</v>
      </c>
      <c r="H999" t="s">
        <v>1087</v>
      </c>
      <c r="I999" t="s">
        <v>3314</v>
      </c>
      <c r="L999" t="s">
        <v>4129</v>
      </c>
      <c r="M999" t="s">
        <v>4129</v>
      </c>
    </row>
    <row r="1000" spans="1:13" x14ac:dyDescent="0.3">
      <c r="A1000" t="s">
        <v>3969</v>
      </c>
      <c r="B1000" t="s">
        <v>3344</v>
      </c>
      <c r="D1000" t="s">
        <v>3756</v>
      </c>
      <c r="E1000" t="s">
        <v>3543</v>
      </c>
      <c r="H1000" t="s">
        <v>3074</v>
      </c>
      <c r="I1000" t="s">
        <v>3315</v>
      </c>
      <c r="L1000" t="s">
        <v>3996</v>
      </c>
      <c r="M1000" t="s">
        <v>3996</v>
      </c>
    </row>
    <row r="1001" spans="1:13" x14ac:dyDescent="0.3">
      <c r="A1001" t="s">
        <v>3970</v>
      </c>
      <c r="B1001" t="s">
        <v>3344</v>
      </c>
      <c r="D1001" t="s">
        <v>3757</v>
      </c>
      <c r="E1001" t="s">
        <v>3544</v>
      </c>
      <c r="H1001" t="s">
        <v>1226</v>
      </c>
      <c r="I1001" t="s">
        <v>2330</v>
      </c>
      <c r="L1001" t="s">
        <v>4130</v>
      </c>
      <c r="M1001" t="s">
        <v>4130</v>
      </c>
    </row>
    <row r="1002" spans="1:13" x14ac:dyDescent="0.3">
      <c r="A1002" t="s">
        <v>3971</v>
      </c>
      <c r="B1002" t="s">
        <v>3344</v>
      </c>
      <c r="D1002" t="s">
        <v>3758</v>
      </c>
      <c r="E1002" t="s">
        <v>3545</v>
      </c>
      <c r="H1002" t="s">
        <v>3316</v>
      </c>
      <c r="I1002" t="s">
        <v>3317</v>
      </c>
      <c r="L1002" t="s">
        <v>4131</v>
      </c>
      <c r="M1002" t="s">
        <v>4131</v>
      </c>
    </row>
    <row r="1003" spans="1:13" x14ac:dyDescent="0.3">
      <c r="A1003" t="s">
        <v>3972</v>
      </c>
      <c r="B1003" t="s">
        <v>3344</v>
      </c>
      <c r="D1003" t="s">
        <v>3759</v>
      </c>
      <c r="E1003" t="s">
        <v>3546</v>
      </c>
      <c r="H1003" t="s">
        <v>1157</v>
      </c>
      <c r="I1003" t="s">
        <v>3318</v>
      </c>
      <c r="L1003" t="s">
        <v>4132</v>
      </c>
      <c r="M1003" t="s">
        <v>4132</v>
      </c>
    </row>
    <row r="1004" spans="1:13" x14ac:dyDescent="0.3">
      <c r="A1004" t="s">
        <v>3973</v>
      </c>
      <c r="B1004" t="s">
        <v>3344</v>
      </c>
      <c r="D1004" t="s">
        <v>3760</v>
      </c>
      <c r="E1004" t="s">
        <v>3547</v>
      </c>
      <c r="H1004" t="s">
        <v>1355</v>
      </c>
      <c r="I1004" t="s">
        <v>3319</v>
      </c>
      <c r="L1004" t="s">
        <v>4133</v>
      </c>
      <c r="M1004" t="s">
        <v>4133</v>
      </c>
    </row>
    <row r="1005" spans="1:13" x14ac:dyDescent="0.3">
      <c r="A1005" t="s">
        <v>3974</v>
      </c>
      <c r="B1005" t="s">
        <v>3344</v>
      </c>
      <c r="D1005" t="s">
        <v>3761</v>
      </c>
      <c r="E1005" t="s">
        <v>3548</v>
      </c>
      <c r="H1005" t="s">
        <v>1355</v>
      </c>
      <c r="I1005" t="s">
        <v>3320</v>
      </c>
      <c r="L1005" t="s">
        <v>4134</v>
      </c>
      <c r="M1005" t="s">
        <v>4134</v>
      </c>
    </row>
    <row r="1006" spans="1:13" x14ac:dyDescent="0.3">
      <c r="A1006" t="s">
        <v>3975</v>
      </c>
      <c r="B1006" t="s">
        <v>3344</v>
      </c>
      <c r="D1006" t="s">
        <v>3762</v>
      </c>
      <c r="E1006" t="s">
        <v>3549</v>
      </c>
      <c r="H1006" t="s">
        <v>3321</v>
      </c>
      <c r="I1006" t="s">
        <v>3322</v>
      </c>
      <c r="L1006" t="s">
        <v>4135</v>
      </c>
      <c r="M1006" t="s">
        <v>4135</v>
      </c>
    </row>
    <row r="1007" spans="1:13" x14ac:dyDescent="0.3">
      <c r="A1007" t="s">
        <v>3976</v>
      </c>
      <c r="B1007" t="s">
        <v>3344</v>
      </c>
      <c r="D1007" t="s">
        <v>3763</v>
      </c>
      <c r="E1007" t="s">
        <v>3550</v>
      </c>
      <c r="H1007" t="s">
        <v>3323</v>
      </c>
      <c r="I1007" t="s">
        <v>3324</v>
      </c>
      <c r="L1007" t="s">
        <v>4136</v>
      </c>
      <c r="M1007" t="s">
        <v>4136</v>
      </c>
    </row>
    <row r="1008" spans="1:13" x14ac:dyDescent="0.3">
      <c r="A1008" t="s">
        <v>3977</v>
      </c>
      <c r="B1008" t="s">
        <v>3344</v>
      </c>
      <c r="D1008" t="s">
        <v>3764</v>
      </c>
      <c r="E1008" t="s">
        <v>3551</v>
      </c>
      <c r="H1008" t="s">
        <v>3325</v>
      </c>
      <c r="I1008" t="s">
        <v>3326</v>
      </c>
      <c r="L1008" t="s">
        <v>4006</v>
      </c>
      <c r="M1008" t="s">
        <v>4006</v>
      </c>
    </row>
    <row r="1009" spans="1:13" x14ac:dyDescent="0.3">
      <c r="A1009" t="s">
        <v>3978</v>
      </c>
      <c r="B1009" t="s">
        <v>3344</v>
      </c>
      <c r="D1009" t="s">
        <v>3765</v>
      </c>
      <c r="E1009" t="s">
        <v>3552</v>
      </c>
      <c r="H1009" t="s">
        <v>3327</v>
      </c>
      <c r="I1009" t="s">
        <v>3328</v>
      </c>
      <c r="L1009" t="s">
        <v>4137</v>
      </c>
      <c r="M1009" t="s">
        <v>4137</v>
      </c>
    </row>
    <row r="1010" spans="1:13" x14ac:dyDescent="0.3">
      <c r="A1010" t="s">
        <v>3979</v>
      </c>
      <c r="B1010" t="s">
        <v>3344</v>
      </c>
      <c r="D1010" t="s">
        <v>3766</v>
      </c>
      <c r="E1010" t="s">
        <v>3553</v>
      </c>
      <c r="H1010" t="s">
        <v>3329</v>
      </c>
      <c r="I1010" t="s">
        <v>3330</v>
      </c>
      <c r="L1010" t="s">
        <v>4134</v>
      </c>
      <c r="M1010" t="s">
        <v>4134</v>
      </c>
    </row>
    <row r="1011" spans="1:13" x14ac:dyDescent="0.3">
      <c r="A1011" t="s">
        <v>3980</v>
      </c>
      <c r="B1011" t="s">
        <v>3344</v>
      </c>
      <c r="D1011" t="s">
        <v>3767</v>
      </c>
      <c r="E1011" t="s">
        <v>3554</v>
      </c>
      <c r="H1011" t="s">
        <v>3071</v>
      </c>
      <c r="I1011" t="s">
        <v>1091</v>
      </c>
      <c r="L1011" t="s">
        <v>4018</v>
      </c>
      <c r="M1011" t="s">
        <v>4018</v>
      </c>
    </row>
    <row r="1012" spans="1:13" x14ac:dyDescent="0.3">
      <c r="A1012" t="s">
        <v>3981</v>
      </c>
      <c r="B1012" t="s">
        <v>3344</v>
      </c>
      <c r="D1012" t="s">
        <v>3768</v>
      </c>
      <c r="E1012" t="s">
        <v>3555</v>
      </c>
      <c r="H1012" t="s">
        <v>2253</v>
      </c>
      <c r="I1012" t="s">
        <v>1176</v>
      </c>
      <c r="L1012" t="s">
        <v>4138</v>
      </c>
      <c r="M1012" t="s">
        <v>4138</v>
      </c>
    </row>
    <row r="1013" spans="1:13" x14ac:dyDescent="0.3">
      <c r="A1013" t="s">
        <v>3982</v>
      </c>
      <c r="B1013" t="s">
        <v>3344</v>
      </c>
      <c r="D1013" t="s">
        <v>3769</v>
      </c>
      <c r="E1013" t="s">
        <v>3556</v>
      </c>
      <c r="H1013" t="s">
        <v>18</v>
      </c>
      <c r="I1013" t="s">
        <v>3331</v>
      </c>
      <c r="L1013" t="s">
        <v>4139</v>
      </c>
      <c r="M1013" t="s">
        <v>4139</v>
      </c>
    </row>
    <row r="1014" spans="1:13" x14ac:dyDescent="0.3">
      <c r="A1014" t="s">
        <v>3983</v>
      </c>
      <c r="B1014" t="s">
        <v>3344</v>
      </c>
      <c r="D1014" t="s">
        <v>3770</v>
      </c>
      <c r="E1014" t="s">
        <v>3557</v>
      </c>
      <c r="H1014" t="s">
        <v>1244</v>
      </c>
      <c r="I1014" t="s">
        <v>3332</v>
      </c>
      <c r="L1014" t="s">
        <v>4140</v>
      </c>
      <c r="M1014" t="s">
        <v>4140</v>
      </c>
    </row>
    <row r="1015" spans="1:13" x14ac:dyDescent="0.3">
      <c r="A1015" t="s">
        <v>4147</v>
      </c>
      <c r="B1015" t="s">
        <v>4148</v>
      </c>
      <c r="C1015">
        <v>120045202</v>
      </c>
      <c r="D1015">
        <v>120045203</v>
      </c>
      <c r="E1015" t="s">
        <v>4149</v>
      </c>
      <c r="G1015" t="s">
        <v>2198</v>
      </c>
      <c r="H1015" t="s">
        <v>1127</v>
      </c>
      <c r="I1015" t="s">
        <v>4150</v>
      </c>
      <c r="J1015" t="s">
        <v>4151</v>
      </c>
      <c r="L1015" t="s">
        <v>4152</v>
      </c>
      <c r="M1015" t="s">
        <v>4153</v>
      </c>
    </row>
    <row r="1016" spans="1:13" x14ac:dyDescent="0.3">
      <c r="A1016" t="s">
        <v>4162</v>
      </c>
      <c r="B1016" t="s">
        <v>2809</v>
      </c>
      <c r="C1016">
        <v>120096404</v>
      </c>
      <c r="D1016">
        <v>120203956</v>
      </c>
      <c r="E1016" t="s">
        <v>4163</v>
      </c>
      <c r="G1016" t="s">
        <v>2198</v>
      </c>
      <c r="H1016" t="s">
        <v>1129</v>
      </c>
      <c r="I1016" t="s">
        <v>4164</v>
      </c>
      <c r="J1016" t="s">
        <v>2898</v>
      </c>
      <c r="L1016" t="s">
        <v>4165</v>
      </c>
      <c r="M1016" t="s">
        <v>4166</v>
      </c>
    </row>
    <row r="1017" spans="1:13" x14ac:dyDescent="0.3">
      <c r="A1017" t="s">
        <v>4169</v>
      </c>
      <c r="B1017" t="s">
        <v>4170</v>
      </c>
      <c r="C1017">
        <v>533143</v>
      </c>
      <c r="D1017">
        <v>100747021</v>
      </c>
      <c r="E1017" t="s">
        <v>4171</v>
      </c>
      <c r="G1017" t="s">
        <v>2386</v>
      </c>
      <c r="H1017" t="s">
        <v>4172</v>
      </c>
      <c r="I1017" t="s">
        <v>4173</v>
      </c>
      <c r="M1017" t="s">
        <v>4174</v>
      </c>
    </row>
    <row r="1018" spans="1:13" x14ac:dyDescent="0.3">
      <c r="A1018" t="s">
        <v>4175</v>
      </c>
      <c r="B1018" t="s">
        <v>4170</v>
      </c>
      <c r="C1018">
        <v>533143</v>
      </c>
      <c r="D1018">
        <v>100747020</v>
      </c>
      <c r="E1018" t="s">
        <v>4176</v>
      </c>
      <c r="G1018" t="s">
        <v>2198</v>
      </c>
      <c r="H1018" t="s">
        <v>1226</v>
      </c>
      <c r="I1018" t="s">
        <v>4177</v>
      </c>
      <c r="L1018" t="s">
        <v>4178</v>
      </c>
      <c r="M1018" t="s">
        <v>4179</v>
      </c>
    </row>
    <row r="1019" spans="1:13" x14ac:dyDescent="0.3">
      <c r="A1019" t="s">
        <v>4180</v>
      </c>
      <c r="B1019" t="s">
        <v>4170</v>
      </c>
      <c r="C1019">
        <v>533143</v>
      </c>
      <c r="D1019">
        <v>101028838</v>
      </c>
      <c r="E1019" t="s">
        <v>4181</v>
      </c>
      <c r="F1019" t="s">
        <v>4182</v>
      </c>
      <c r="G1019" t="s">
        <v>2198</v>
      </c>
      <c r="H1019" t="s">
        <v>4183</v>
      </c>
      <c r="I1019" t="s">
        <v>4184</v>
      </c>
      <c r="J1019" t="s">
        <v>2898</v>
      </c>
      <c r="M1019" t="s">
        <v>4174</v>
      </c>
    </row>
    <row r="1020" spans="1:13" x14ac:dyDescent="0.3">
      <c r="A1020" t="s">
        <v>4185</v>
      </c>
      <c r="B1020" t="s">
        <v>4170</v>
      </c>
      <c r="C1020">
        <v>533143</v>
      </c>
      <c r="D1020">
        <v>120201941</v>
      </c>
      <c r="E1020" t="s">
        <v>4186</v>
      </c>
      <c r="G1020" t="s">
        <v>2198</v>
      </c>
      <c r="H1020" t="s">
        <v>1226</v>
      </c>
      <c r="I1020" t="s">
        <v>4187</v>
      </c>
      <c r="M1020" t="s">
        <v>4188</v>
      </c>
    </row>
    <row r="1021" spans="1:13" x14ac:dyDescent="0.3">
      <c r="A1021" t="s">
        <v>29</v>
      </c>
      <c r="B1021" t="s">
        <v>4189</v>
      </c>
      <c r="C1021">
        <v>506398</v>
      </c>
      <c r="D1021">
        <v>100303460</v>
      </c>
      <c r="E1021" t="s">
        <v>4190</v>
      </c>
      <c r="G1021" t="s">
        <v>2198</v>
      </c>
      <c r="H1021" t="s">
        <v>2502</v>
      </c>
      <c r="I1021" t="s">
        <v>4191</v>
      </c>
      <c r="K1021" t="s">
        <v>2343</v>
      </c>
      <c r="L1021" t="s">
        <v>4192</v>
      </c>
      <c r="M1021" t="s">
        <v>4193</v>
      </c>
    </row>
    <row r="1022" spans="1:13" x14ac:dyDescent="0.3">
      <c r="A1022" t="s">
        <v>4194</v>
      </c>
      <c r="B1022" t="s">
        <v>4189</v>
      </c>
      <c r="C1022">
        <v>506398</v>
      </c>
      <c r="D1022">
        <v>100303459</v>
      </c>
      <c r="E1022" t="s">
        <v>4195</v>
      </c>
      <c r="G1022" t="s">
        <v>2198</v>
      </c>
      <c r="H1022" t="s">
        <v>2561</v>
      </c>
      <c r="I1022" t="s">
        <v>4196</v>
      </c>
      <c r="K1022" t="s">
        <v>2343</v>
      </c>
      <c r="L1022" t="s">
        <v>4197</v>
      </c>
      <c r="M1022" t="s">
        <v>4198</v>
      </c>
    </row>
    <row r="1023" spans="1:13" x14ac:dyDescent="0.3">
      <c r="A1023" t="s">
        <v>4199</v>
      </c>
      <c r="B1023" t="s">
        <v>4189</v>
      </c>
      <c r="C1023">
        <v>506398</v>
      </c>
      <c r="D1023">
        <v>100303458</v>
      </c>
      <c r="E1023" t="s">
        <v>4200</v>
      </c>
      <c r="G1023" t="s">
        <v>2198</v>
      </c>
      <c r="H1023" t="s">
        <v>2382</v>
      </c>
      <c r="I1023" t="s">
        <v>4201</v>
      </c>
      <c r="K1023" t="s">
        <v>4202</v>
      </c>
      <c r="L1023" t="s">
        <v>4141</v>
      </c>
      <c r="M1023" t="s">
        <v>4198</v>
      </c>
    </row>
    <row r="1024" spans="1:13" x14ac:dyDescent="0.3">
      <c r="A1024" t="s">
        <v>4231</v>
      </c>
      <c r="B1024" t="s">
        <v>4232</v>
      </c>
      <c r="C1024">
        <v>80115240</v>
      </c>
      <c r="D1024">
        <v>120210005</v>
      </c>
      <c r="E1024" t="s">
        <v>4233</v>
      </c>
      <c r="G1024" t="s">
        <v>2198</v>
      </c>
      <c r="H1024" t="s">
        <v>2382</v>
      </c>
      <c r="I1024" t="s">
        <v>4234</v>
      </c>
      <c r="J1024" t="s">
        <v>2200</v>
      </c>
    </row>
    <row r="1025" spans="1:13" x14ac:dyDescent="0.3">
      <c r="A1025" t="s">
        <v>4237</v>
      </c>
      <c r="B1025" t="s">
        <v>4238</v>
      </c>
      <c r="C1025">
        <v>120095274</v>
      </c>
      <c r="D1025">
        <v>120095275</v>
      </c>
      <c r="E1025" t="s">
        <v>4239</v>
      </c>
      <c r="G1025" t="s">
        <v>2198</v>
      </c>
      <c r="H1025" t="s">
        <v>4240</v>
      </c>
      <c r="I1025" t="s">
        <v>4241</v>
      </c>
      <c r="L1025" t="s">
        <v>4242</v>
      </c>
      <c r="M1025" t="s">
        <v>4243</v>
      </c>
    </row>
    <row r="1026" spans="1:13" x14ac:dyDescent="0.3">
      <c r="A1026" t="s">
        <v>4244</v>
      </c>
      <c r="B1026" t="s">
        <v>4238</v>
      </c>
      <c r="C1026">
        <v>120095274</v>
      </c>
      <c r="D1026">
        <v>120202299</v>
      </c>
      <c r="E1026" t="s">
        <v>4245</v>
      </c>
      <c r="G1026" t="s">
        <v>2386</v>
      </c>
      <c r="H1026" t="s">
        <v>1153</v>
      </c>
      <c r="I1026" t="s">
        <v>4246</v>
      </c>
      <c r="L1026" t="s">
        <v>4247</v>
      </c>
      <c r="M1026" t="s">
        <v>4248</v>
      </c>
    </row>
    <row r="1027" spans="1:13" x14ac:dyDescent="0.3">
      <c r="A1027" t="s">
        <v>4249</v>
      </c>
      <c r="B1027" t="s">
        <v>4250</v>
      </c>
      <c r="C1027">
        <v>535981</v>
      </c>
      <c r="D1027">
        <v>101131961</v>
      </c>
      <c r="E1027" t="s">
        <v>4251</v>
      </c>
      <c r="G1027" t="s">
        <v>2198</v>
      </c>
      <c r="H1027" t="s">
        <v>1161</v>
      </c>
      <c r="I1027" t="s">
        <v>4252</v>
      </c>
    </row>
    <row r="1028" spans="1:13" x14ac:dyDescent="0.3">
      <c r="A1028" t="s">
        <v>4253</v>
      </c>
      <c r="B1028" t="s">
        <v>4250</v>
      </c>
      <c r="C1028">
        <v>535981</v>
      </c>
      <c r="D1028">
        <v>100751218</v>
      </c>
      <c r="E1028" t="s">
        <v>4254</v>
      </c>
      <c r="F1028" t="s">
        <v>4255</v>
      </c>
      <c r="G1028" t="s">
        <v>2198</v>
      </c>
      <c r="H1028" t="s">
        <v>4256</v>
      </c>
      <c r="I1028" t="s">
        <v>4257</v>
      </c>
      <c r="L1028" t="s">
        <v>2432</v>
      </c>
      <c r="M1028" t="s">
        <v>4258</v>
      </c>
    </row>
    <row r="1029" spans="1:13" x14ac:dyDescent="0.3">
      <c r="A1029" t="s">
        <v>4259</v>
      </c>
      <c r="B1029" t="s">
        <v>4250</v>
      </c>
      <c r="C1029">
        <v>535981</v>
      </c>
      <c r="D1029">
        <v>100751216</v>
      </c>
      <c r="E1029" t="s">
        <v>4260</v>
      </c>
      <c r="G1029" t="s">
        <v>2198</v>
      </c>
      <c r="H1029" t="s">
        <v>4261</v>
      </c>
      <c r="I1029" t="s">
        <v>4262</v>
      </c>
      <c r="L1029" t="s">
        <v>4263</v>
      </c>
      <c r="M1029" t="s">
        <v>4264</v>
      </c>
    </row>
    <row r="1030" spans="1:13" x14ac:dyDescent="0.3">
      <c r="A1030" t="s">
        <v>4265</v>
      </c>
      <c r="B1030" t="s">
        <v>4250</v>
      </c>
      <c r="C1030">
        <v>535981</v>
      </c>
      <c r="D1030">
        <v>100751217</v>
      </c>
      <c r="E1030" t="s">
        <v>4266</v>
      </c>
      <c r="G1030" t="s">
        <v>2198</v>
      </c>
      <c r="H1030" t="s">
        <v>2469</v>
      </c>
      <c r="I1030" t="s">
        <v>1176</v>
      </c>
      <c r="L1030" t="s">
        <v>2432</v>
      </c>
      <c r="M1030" t="s">
        <v>4258</v>
      </c>
    </row>
    <row r="1031" spans="1:13" x14ac:dyDescent="0.3">
      <c r="A1031" t="s">
        <v>4267</v>
      </c>
      <c r="B1031" t="s">
        <v>4250</v>
      </c>
      <c r="C1031">
        <v>535981</v>
      </c>
      <c r="D1031">
        <v>100751214</v>
      </c>
      <c r="E1031" t="s">
        <v>4268</v>
      </c>
      <c r="G1031" t="s">
        <v>2198</v>
      </c>
      <c r="H1031" t="s">
        <v>1129</v>
      </c>
      <c r="I1031" t="s">
        <v>4269</v>
      </c>
      <c r="L1031" t="s">
        <v>4270</v>
      </c>
      <c r="M1031" t="s">
        <v>4258</v>
      </c>
    </row>
    <row r="1032" spans="1:13" x14ac:dyDescent="0.3">
      <c r="A1032" t="s">
        <v>4271</v>
      </c>
      <c r="B1032" t="s">
        <v>4250</v>
      </c>
      <c r="C1032">
        <v>535981</v>
      </c>
      <c r="D1032">
        <v>100751215</v>
      </c>
      <c r="E1032" t="s">
        <v>4272</v>
      </c>
      <c r="G1032" t="s">
        <v>2198</v>
      </c>
      <c r="H1032" t="s">
        <v>3191</v>
      </c>
      <c r="I1032" t="s">
        <v>1139</v>
      </c>
      <c r="L1032" t="s">
        <v>4273</v>
      </c>
      <c r="M1032" t="s">
        <v>4258</v>
      </c>
    </row>
    <row r="1033" spans="1:13" x14ac:dyDescent="0.3">
      <c r="A1033" t="s">
        <v>3889</v>
      </c>
      <c r="B1033" t="s">
        <v>3336</v>
      </c>
      <c r="C1033">
        <v>120191158</v>
      </c>
      <c r="D1033">
        <v>120191302</v>
      </c>
      <c r="E1033" t="s">
        <v>3463</v>
      </c>
      <c r="G1033" t="s">
        <v>2198</v>
      </c>
      <c r="H1033" t="s">
        <v>3211</v>
      </c>
      <c r="I1033" t="s">
        <v>3212</v>
      </c>
      <c r="L1033" t="s">
        <v>4012</v>
      </c>
      <c r="M1033" t="s">
        <v>4274</v>
      </c>
    </row>
    <row r="1034" spans="1:13" x14ac:dyDescent="0.3">
      <c r="A1034" t="s">
        <v>3877</v>
      </c>
      <c r="B1034" t="s">
        <v>3336</v>
      </c>
      <c r="C1034">
        <v>120191158</v>
      </c>
      <c r="D1034">
        <v>120191278</v>
      </c>
      <c r="E1034" t="s">
        <v>3451</v>
      </c>
      <c r="G1034" t="s">
        <v>2198</v>
      </c>
      <c r="H1034" t="s">
        <v>3194</v>
      </c>
      <c r="I1034" t="s">
        <v>3195</v>
      </c>
      <c r="L1034" t="s">
        <v>4071</v>
      </c>
      <c r="M1034" t="s">
        <v>4274</v>
      </c>
    </row>
    <row r="1035" spans="1:13" x14ac:dyDescent="0.3">
      <c r="A1035" t="s">
        <v>3885</v>
      </c>
      <c r="B1035" t="s">
        <v>3336</v>
      </c>
      <c r="C1035">
        <v>120191158</v>
      </c>
      <c r="D1035">
        <v>120191148</v>
      </c>
      <c r="E1035" t="s">
        <v>3459</v>
      </c>
      <c r="G1035" t="s">
        <v>2198</v>
      </c>
      <c r="H1035" t="s">
        <v>3205</v>
      </c>
      <c r="I1035" t="s">
        <v>3102</v>
      </c>
      <c r="L1035" t="s">
        <v>4074</v>
      </c>
      <c r="M1035" t="s">
        <v>4274</v>
      </c>
    </row>
    <row r="1036" spans="1:13" x14ac:dyDescent="0.3">
      <c r="A1036" t="s">
        <v>3871</v>
      </c>
      <c r="B1036" t="s">
        <v>3336</v>
      </c>
      <c r="C1036">
        <v>120191158</v>
      </c>
      <c r="D1036">
        <v>120191272</v>
      </c>
      <c r="E1036" t="s">
        <v>3445</v>
      </c>
      <c r="G1036" t="s">
        <v>2198</v>
      </c>
      <c r="H1036" t="s">
        <v>3185</v>
      </c>
      <c r="I1036" t="s">
        <v>3186</v>
      </c>
      <c r="L1036" t="s">
        <v>4067</v>
      </c>
      <c r="M1036" t="s">
        <v>4274</v>
      </c>
    </row>
    <row r="1037" spans="1:13" x14ac:dyDescent="0.3">
      <c r="A1037" t="s">
        <v>3897</v>
      </c>
      <c r="B1037" t="s">
        <v>3336</v>
      </c>
      <c r="C1037">
        <v>120191158</v>
      </c>
      <c r="D1037">
        <v>120191330</v>
      </c>
      <c r="E1037" t="s">
        <v>3471</v>
      </c>
      <c r="G1037" t="s">
        <v>2386</v>
      </c>
      <c r="H1037" t="s">
        <v>3222</v>
      </c>
      <c r="I1037" t="s">
        <v>3223</v>
      </c>
      <c r="L1037" t="s">
        <v>4085</v>
      </c>
      <c r="M1037" t="s">
        <v>4274</v>
      </c>
    </row>
    <row r="1038" spans="1:13" x14ac:dyDescent="0.3">
      <c r="A1038" t="s">
        <v>3870</v>
      </c>
      <c r="B1038" t="s">
        <v>3336</v>
      </c>
      <c r="C1038">
        <v>120191158</v>
      </c>
      <c r="D1038">
        <v>120191271</v>
      </c>
      <c r="E1038" t="s">
        <v>3444</v>
      </c>
      <c r="G1038" t="s">
        <v>2386</v>
      </c>
      <c r="H1038" t="s">
        <v>3183</v>
      </c>
      <c r="I1038" t="s">
        <v>3184</v>
      </c>
      <c r="L1038" t="s">
        <v>4066</v>
      </c>
      <c r="M1038" t="s">
        <v>4274</v>
      </c>
    </row>
    <row r="1039" spans="1:13" x14ac:dyDescent="0.3">
      <c r="A1039" t="s">
        <v>3904</v>
      </c>
      <c r="B1039" t="s">
        <v>3336</v>
      </c>
      <c r="C1039">
        <v>120191158</v>
      </c>
      <c r="D1039">
        <v>120191337</v>
      </c>
      <c r="E1039" t="s">
        <v>3478</v>
      </c>
      <c r="G1039" t="s">
        <v>2386</v>
      </c>
      <c r="H1039" t="s">
        <v>3231</v>
      </c>
      <c r="I1039" t="s">
        <v>3232</v>
      </c>
      <c r="L1039" t="s">
        <v>4088</v>
      </c>
      <c r="M1039" t="s">
        <v>4274</v>
      </c>
    </row>
    <row r="1040" spans="1:13" x14ac:dyDescent="0.3">
      <c r="A1040" t="s">
        <v>3878</v>
      </c>
      <c r="B1040" t="s">
        <v>3336</v>
      </c>
      <c r="C1040">
        <v>120191158</v>
      </c>
      <c r="D1040">
        <v>120191279</v>
      </c>
      <c r="E1040" t="s">
        <v>3452</v>
      </c>
      <c r="G1040" t="s">
        <v>2198</v>
      </c>
      <c r="H1040" t="s">
        <v>3196</v>
      </c>
      <c r="I1040" t="s">
        <v>3197</v>
      </c>
      <c r="L1040" t="s">
        <v>4072</v>
      </c>
      <c r="M1040" t="s">
        <v>4274</v>
      </c>
    </row>
    <row r="1041" spans="1:13" x14ac:dyDescent="0.3">
      <c r="A1041" t="s">
        <v>3895</v>
      </c>
      <c r="B1041" t="s">
        <v>3336</v>
      </c>
      <c r="C1041">
        <v>120191158</v>
      </c>
      <c r="D1041">
        <v>120191308</v>
      </c>
      <c r="E1041" t="s">
        <v>3469</v>
      </c>
      <c r="G1041" t="s">
        <v>2198</v>
      </c>
      <c r="H1041" t="s">
        <v>1113</v>
      </c>
      <c r="I1041" t="s">
        <v>3220</v>
      </c>
      <c r="L1041" t="s">
        <v>4083</v>
      </c>
      <c r="M1041" t="s">
        <v>4274</v>
      </c>
    </row>
    <row r="1042" spans="1:13" x14ac:dyDescent="0.3">
      <c r="A1042" t="s">
        <v>3874</v>
      </c>
      <c r="B1042" t="s">
        <v>3336</v>
      </c>
      <c r="C1042">
        <v>120191158</v>
      </c>
      <c r="D1042">
        <v>120191275</v>
      </c>
      <c r="E1042" t="s">
        <v>3448</v>
      </c>
      <c r="G1042" t="s">
        <v>2386</v>
      </c>
      <c r="H1042" t="s">
        <v>3189</v>
      </c>
      <c r="I1042" t="s">
        <v>3190</v>
      </c>
      <c r="L1042" t="s">
        <v>4069</v>
      </c>
      <c r="M1042" t="s">
        <v>4274</v>
      </c>
    </row>
    <row r="1043" spans="1:13" x14ac:dyDescent="0.3">
      <c r="A1043" t="s">
        <v>3905</v>
      </c>
      <c r="B1043" t="s">
        <v>3336</v>
      </c>
      <c r="C1043">
        <v>120191158</v>
      </c>
      <c r="D1043">
        <v>120191338</v>
      </c>
      <c r="E1043" t="s">
        <v>3479</v>
      </c>
      <c r="G1043" t="s">
        <v>2198</v>
      </c>
      <c r="H1043" t="s">
        <v>2212</v>
      </c>
      <c r="I1043" t="s">
        <v>3233</v>
      </c>
      <c r="L1043" t="s">
        <v>4275</v>
      </c>
      <c r="M1043" t="s">
        <v>4274</v>
      </c>
    </row>
    <row r="1044" spans="1:13" x14ac:dyDescent="0.3">
      <c r="A1044" t="s">
        <v>3881</v>
      </c>
      <c r="B1044" t="s">
        <v>3336</v>
      </c>
      <c r="C1044">
        <v>120191158</v>
      </c>
      <c r="D1044">
        <v>120191144</v>
      </c>
      <c r="E1044" t="s">
        <v>3455</v>
      </c>
      <c r="G1044" t="s">
        <v>2198</v>
      </c>
      <c r="H1044" t="s">
        <v>3199</v>
      </c>
      <c r="I1044" t="s">
        <v>2251</v>
      </c>
      <c r="L1044" t="s">
        <v>4067</v>
      </c>
      <c r="M1044" t="s">
        <v>4274</v>
      </c>
    </row>
    <row r="1045" spans="1:13" x14ac:dyDescent="0.3">
      <c r="A1045" t="s">
        <v>3901</v>
      </c>
      <c r="B1045" t="s">
        <v>3336</v>
      </c>
      <c r="C1045">
        <v>120191158</v>
      </c>
      <c r="D1045">
        <v>120191334</v>
      </c>
      <c r="E1045" t="s">
        <v>3475</v>
      </c>
      <c r="G1045" t="s">
        <v>2198</v>
      </c>
      <c r="H1045" t="s">
        <v>1084</v>
      </c>
      <c r="I1045" t="s">
        <v>3228</v>
      </c>
      <c r="L1045" t="s">
        <v>4074</v>
      </c>
      <c r="M1045" t="s">
        <v>4274</v>
      </c>
    </row>
    <row r="1046" spans="1:13" x14ac:dyDescent="0.3">
      <c r="A1046" t="s">
        <v>3896</v>
      </c>
      <c r="B1046" t="s">
        <v>3336</v>
      </c>
      <c r="C1046">
        <v>120191158</v>
      </c>
      <c r="D1046">
        <v>120191309</v>
      </c>
      <c r="E1046" t="s">
        <v>3470</v>
      </c>
      <c r="G1046" t="s">
        <v>2198</v>
      </c>
      <c r="H1046" t="s">
        <v>3221</v>
      </c>
      <c r="I1046" t="s">
        <v>1212</v>
      </c>
      <c r="L1046" t="s">
        <v>4084</v>
      </c>
      <c r="M1046" t="s">
        <v>4274</v>
      </c>
    </row>
    <row r="1047" spans="1:13" x14ac:dyDescent="0.3">
      <c r="A1047" t="s">
        <v>3876</v>
      </c>
      <c r="B1047" t="s">
        <v>3336</v>
      </c>
      <c r="C1047">
        <v>120191158</v>
      </c>
      <c r="D1047">
        <v>120191277</v>
      </c>
      <c r="E1047" t="s">
        <v>3450</v>
      </c>
      <c r="G1047" t="s">
        <v>2386</v>
      </c>
      <c r="H1047" t="s">
        <v>3192</v>
      </c>
      <c r="I1047" t="s">
        <v>3193</v>
      </c>
      <c r="L1047" t="s">
        <v>3986</v>
      </c>
      <c r="M1047" t="s">
        <v>4274</v>
      </c>
    </row>
    <row r="1048" spans="1:13" x14ac:dyDescent="0.3">
      <c r="A1048" t="s">
        <v>3902</v>
      </c>
      <c r="B1048" t="s">
        <v>3336</v>
      </c>
      <c r="C1048">
        <v>120191158</v>
      </c>
      <c r="D1048">
        <v>120191335</v>
      </c>
      <c r="E1048" t="s">
        <v>3476</v>
      </c>
      <c r="G1048" t="s">
        <v>2198</v>
      </c>
      <c r="H1048" t="s">
        <v>2848</v>
      </c>
      <c r="I1048" t="s">
        <v>3229</v>
      </c>
      <c r="L1048" t="s">
        <v>4070</v>
      </c>
      <c r="M1048" t="s">
        <v>4274</v>
      </c>
    </row>
    <row r="1049" spans="1:13" x14ac:dyDescent="0.3">
      <c r="A1049" t="s">
        <v>3865</v>
      </c>
      <c r="B1049" t="s">
        <v>3336</v>
      </c>
      <c r="C1049">
        <v>120191158</v>
      </c>
      <c r="D1049">
        <v>120191266</v>
      </c>
      <c r="E1049" t="s">
        <v>3439</v>
      </c>
      <c r="G1049" t="s">
        <v>2198</v>
      </c>
      <c r="H1049" t="s">
        <v>3175</v>
      </c>
      <c r="I1049" t="s">
        <v>3176</v>
      </c>
      <c r="L1049" t="s">
        <v>4006</v>
      </c>
      <c r="M1049" t="s">
        <v>4274</v>
      </c>
    </row>
    <row r="1050" spans="1:13" x14ac:dyDescent="0.3">
      <c r="A1050" t="s">
        <v>3888</v>
      </c>
      <c r="B1050" t="s">
        <v>3336</v>
      </c>
      <c r="C1050">
        <v>120191158</v>
      </c>
      <c r="D1050">
        <v>120191301</v>
      </c>
      <c r="E1050" t="s">
        <v>3462</v>
      </c>
      <c r="G1050" t="s">
        <v>2198</v>
      </c>
      <c r="H1050" t="s">
        <v>3209</v>
      </c>
      <c r="I1050" t="s">
        <v>3210</v>
      </c>
      <c r="L1050" t="s">
        <v>4077</v>
      </c>
      <c r="M1050" t="s">
        <v>4274</v>
      </c>
    </row>
    <row r="1051" spans="1:13" x14ac:dyDescent="0.3">
      <c r="A1051" t="s">
        <v>3886</v>
      </c>
      <c r="B1051" t="s">
        <v>3336</v>
      </c>
      <c r="C1051">
        <v>120191158</v>
      </c>
      <c r="D1051">
        <v>120191149</v>
      </c>
      <c r="E1051" t="s">
        <v>3460</v>
      </c>
      <c r="G1051" t="s">
        <v>2386</v>
      </c>
      <c r="H1051" t="s">
        <v>3206</v>
      </c>
      <c r="I1051" t="s">
        <v>2488</v>
      </c>
      <c r="L1051" t="s">
        <v>4075</v>
      </c>
      <c r="M1051" t="s">
        <v>4274</v>
      </c>
    </row>
    <row r="1052" spans="1:13" x14ac:dyDescent="0.3">
      <c r="A1052" t="s">
        <v>3867</v>
      </c>
      <c r="B1052" t="s">
        <v>3336</v>
      </c>
      <c r="C1052">
        <v>120191158</v>
      </c>
      <c r="D1052">
        <v>120191268</v>
      </c>
      <c r="E1052" t="s">
        <v>3441</v>
      </c>
      <c r="G1052" t="s">
        <v>2198</v>
      </c>
      <c r="H1052" t="s">
        <v>3179</v>
      </c>
      <c r="I1052" t="s">
        <v>3180</v>
      </c>
      <c r="L1052" t="s">
        <v>4063</v>
      </c>
      <c r="M1052" t="s">
        <v>4274</v>
      </c>
    </row>
    <row r="1053" spans="1:13" x14ac:dyDescent="0.3">
      <c r="A1053" t="s">
        <v>3900</v>
      </c>
      <c r="B1053" t="s">
        <v>3336</v>
      </c>
      <c r="C1053">
        <v>120191158</v>
      </c>
      <c r="D1053">
        <v>120191333</v>
      </c>
      <c r="E1053" t="s">
        <v>3474</v>
      </c>
      <c r="G1053" t="s">
        <v>2198</v>
      </c>
      <c r="H1053" t="s">
        <v>3226</v>
      </c>
      <c r="I1053" t="s">
        <v>3227</v>
      </c>
      <c r="L1053" t="s">
        <v>4006</v>
      </c>
      <c r="M1053" t="s">
        <v>4274</v>
      </c>
    </row>
    <row r="1054" spans="1:13" x14ac:dyDescent="0.3">
      <c r="A1054" t="s">
        <v>3882</v>
      </c>
      <c r="B1054" t="s">
        <v>3336</v>
      </c>
      <c r="C1054">
        <v>120191158</v>
      </c>
      <c r="D1054">
        <v>120191145</v>
      </c>
      <c r="E1054" t="s">
        <v>3456</v>
      </c>
      <c r="G1054" t="s">
        <v>2198</v>
      </c>
      <c r="H1054" t="s">
        <v>3200</v>
      </c>
      <c r="I1054" t="s">
        <v>3201</v>
      </c>
      <c r="L1054" t="s">
        <v>4073</v>
      </c>
      <c r="M1054" t="s">
        <v>4274</v>
      </c>
    </row>
    <row r="1055" spans="1:13" x14ac:dyDescent="0.3">
      <c r="A1055" t="s">
        <v>3893</v>
      </c>
      <c r="B1055" t="s">
        <v>3336</v>
      </c>
      <c r="C1055">
        <v>120191158</v>
      </c>
      <c r="D1055">
        <v>120191306</v>
      </c>
      <c r="E1055" t="s">
        <v>3467</v>
      </c>
      <c r="G1055" t="s">
        <v>2386</v>
      </c>
      <c r="H1055" t="s">
        <v>3217</v>
      </c>
      <c r="I1055" t="s">
        <v>3218</v>
      </c>
      <c r="L1055" t="s">
        <v>4081</v>
      </c>
      <c r="M1055" t="s">
        <v>4274</v>
      </c>
    </row>
    <row r="1056" spans="1:13" x14ac:dyDescent="0.3">
      <c r="A1056" t="s">
        <v>3866</v>
      </c>
      <c r="B1056" t="s">
        <v>3336</v>
      </c>
      <c r="C1056">
        <v>120191158</v>
      </c>
      <c r="D1056">
        <v>120191267</v>
      </c>
      <c r="E1056" t="s">
        <v>3440</v>
      </c>
      <c r="G1056" t="s">
        <v>2386</v>
      </c>
      <c r="H1056" t="s">
        <v>3177</v>
      </c>
      <c r="I1056" t="s">
        <v>3178</v>
      </c>
      <c r="L1056" t="s">
        <v>4062</v>
      </c>
      <c r="M1056" t="s">
        <v>4274</v>
      </c>
    </row>
    <row r="1057" spans="1:13" x14ac:dyDescent="0.3">
      <c r="A1057" t="s">
        <v>3869</v>
      </c>
      <c r="B1057" t="s">
        <v>3336</v>
      </c>
      <c r="C1057">
        <v>120191158</v>
      </c>
      <c r="D1057">
        <v>120191270</v>
      </c>
      <c r="E1057" t="s">
        <v>3443</v>
      </c>
      <c r="G1057" t="s">
        <v>2386</v>
      </c>
      <c r="H1057" t="s">
        <v>3181</v>
      </c>
      <c r="I1057" t="s">
        <v>3182</v>
      </c>
      <c r="L1057" t="s">
        <v>4065</v>
      </c>
      <c r="M1057" t="s">
        <v>4274</v>
      </c>
    </row>
    <row r="1058" spans="1:13" x14ac:dyDescent="0.3">
      <c r="A1058" t="s">
        <v>3873</v>
      </c>
      <c r="B1058" t="s">
        <v>3336</v>
      </c>
      <c r="C1058">
        <v>120191158</v>
      </c>
      <c r="D1058">
        <v>120191274</v>
      </c>
      <c r="E1058" t="s">
        <v>3447</v>
      </c>
      <c r="G1058" t="s">
        <v>2198</v>
      </c>
      <c r="H1058" t="s">
        <v>3187</v>
      </c>
      <c r="I1058" t="s">
        <v>3188</v>
      </c>
      <c r="L1058" t="s">
        <v>4068</v>
      </c>
      <c r="M1058" t="s">
        <v>4274</v>
      </c>
    </row>
    <row r="1059" spans="1:13" x14ac:dyDescent="0.3">
      <c r="A1059" t="s">
        <v>3907</v>
      </c>
      <c r="B1059" t="s">
        <v>3336</v>
      </c>
      <c r="C1059">
        <v>120191158</v>
      </c>
      <c r="D1059">
        <v>120191340</v>
      </c>
      <c r="E1059" t="s">
        <v>3481</v>
      </c>
      <c r="G1059" t="s">
        <v>2198</v>
      </c>
      <c r="H1059" t="s">
        <v>1127</v>
      </c>
      <c r="I1059" t="s">
        <v>2924</v>
      </c>
      <c r="L1059" t="s">
        <v>4091</v>
      </c>
      <c r="M1059" t="s">
        <v>4274</v>
      </c>
    </row>
    <row r="1060" spans="1:13" x14ac:dyDescent="0.3">
      <c r="A1060" t="s">
        <v>3890</v>
      </c>
      <c r="B1060" t="s">
        <v>3336</v>
      </c>
      <c r="C1060">
        <v>120191158</v>
      </c>
      <c r="D1060">
        <v>120191303</v>
      </c>
      <c r="E1060" t="s">
        <v>3464</v>
      </c>
      <c r="G1060" t="s">
        <v>2386</v>
      </c>
      <c r="H1060" t="s">
        <v>3213</v>
      </c>
      <c r="I1060" t="s">
        <v>3214</v>
      </c>
      <c r="L1060" t="s">
        <v>4078</v>
      </c>
      <c r="M1060" t="s">
        <v>4274</v>
      </c>
    </row>
    <row r="1061" spans="1:13" x14ac:dyDescent="0.3">
      <c r="A1061" t="s">
        <v>3898</v>
      </c>
      <c r="B1061" t="s">
        <v>3336</v>
      </c>
      <c r="C1061">
        <v>120191158</v>
      </c>
      <c r="D1061">
        <v>120191331</v>
      </c>
      <c r="E1061" t="s">
        <v>3472</v>
      </c>
      <c r="G1061" t="s">
        <v>2386</v>
      </c>
      <c r="H1061" t="s">
        <v>3224</v>
      </c>
      <c r="I1061" t="s">
        <v>3225</v>
      </c>
      <c r="L1061" t="s">
        <v>4086</v>
      </c>
      <c r="M1061" t="s">
        <v>4274</v>
      </c>
    </row>
    <row r="1062" spans="1:13" x14ac:dyDescent="0.3">
      <c r="A1062" t="s">
        <v>3903</v>
      </c>
      <c r="B1062" t="s">
        <v>3336</v>
      </c>
      <c r="C1062">
        <v>120191158</v>
      </c>
      <c r="D1062">
        <v>120191336</v>
      </c>
      <c r="E1062" t="s">
        <v>3477</v>
      </c>
      <c r="G1062" t="s">
        <v>2198</v>
      </c>
      <c r="H1062" t="s">
        <v>1259</v>
      </c>
      <c r="I1062" t="s">
        <v>3230</v>
      </c>
      <c r="L1062" t="s">
        <v>4276</v>
      </c>
      <c r="M1062" t="s">
        <v>4274</v>
      </c>
    </row>
    <row r="1063" spans="1:13" x14ac:dyDescent="0.3">
      <c r="A1063" t="s">
        <v>3864</v>
      </c>
      <c r="B1063" t="s">
        <v>3336</v>
      </c>
      <c r="C1063">
        <v>120191158</v>
      </c>
      <c r="D1063">
        <v>120191265</v>
      </c>
      <c r="E1063" t="s">
        <v>3438</v>
      </c>
      <c r="G1063" t="s">
        <v>2198</v>
      </c>
      <c r="H1063" t="s">
        <v>1358</v>
      </c>
      <c r="I1063" t="s">
        <v>3174</v>
      </c>
      <c r="L1063" t="s">
        <v>4061</v>
      </c>
      <c r="M1063" t="s">
        <v>4274</v>
      </c>
    </row>
    <row r="1064" spans="1:13" x14ac:dyDescent="0.3">
      <c r="A1064" t="s">
        <v>3875</v>
      </c>
      <c r="B1064" t="s">
        <v>3336</v>
      </c>
      <c r="C1064">
        <v>120191158</v>
      </c>
      <c r="D1064">
        <v>120191276</v>
      </c>
      <c r="E1064" t="s">
        <v>3449</v>
      </c>
      <c r="G1064" t="s">
        <v>2198</v>
      </c>
      <c r="H1064" t="s">
        <v>3191</v>
      </c>
      <c r="I1064" t="s">
        <v>1251</v>
      </c>
      <c r="L1064" t="s">
        <v>4070</v>
      </c>
      <c r="M1064" t="s">
        <v>4274</v>
      </c>
    </row>
    <row r="1065" spans="1:13" x14ac:dyDescent="0.3">
      <c r="A1065" t="s">
        <v>3899</v>
      </c>
      <c r="B1065" t="s">
        <v>3336</v>
      </c>
      <c r="C1065">
        <v>120191158</v>
      </c>
      <c r="D1065">
        <v>120191332</v>
      </c>
      <c r="E1065" t="s">
        <v>3473</v>
      </c>
      <c r="G1065" t="s">
        <v>2198</v>
      </c>
      <c r="H1065" t="s">
        <v>18</v>
      </c>
      <c r="I1065" t="s">
        <v>1251</v>
      </c>
      <c r="L1065" t="s">
        <v>2343</v>
      </c>
      <c r="M1065" t="s">
        <v>4274</v>
      </c>
    </row>
    <row r="1066" spans="1:13" x14ac:dyDescent="0.3">
      <c r="A1066" t="s">
        <v>3891</v>
      </c>
      <c r="B1066" t="s">
        <v>3336</v>
      </c>
      <c r="C1066">
        <v>120191158</v>
      </c>
      <c r="D1066">
        <v>120191304</v>
      </c>
      <c r="E1066" t="s">
        <v>3465</v>
      </c>
      <c r="G1066" t="s">
        <v>2198</v>
      </c>
      <c r="H1066" t="s">
        <v>1161</v>
      </c>
      <c r="I1066" t="s">
        <v>3215</v>
      </c>
      <c r="L1066" t="s">
        <v>4079</v>
      </c>
      <c r="M1066" t="s">
        <v>4274</v>
      </c>
    </row>
    <row r="1067" spans="1:13" x14ac:dyDescent="0.3">
      <c r="A1067" t="s">
        <v>3894</v>
      </c>
      <c r="B1067" t="s">
        <v>3336</v>
      </c>
      <c r="C1067">
        <v>120191158</v>
      </c>
      <c r="D1067">
        <v>120191307</v>
      </c>
      <c r="E1067" t="s">
        <v>3468</v>
      </c>
      <c r="G1067" t="s">
        <v>2198</v>
      </c>
      <c r="H1067" t="s">
        <v>1269</v>
      </c>
      <c r="I1067" t="s">
        <v>3219</v>
      </c>
      <c r="L1067" t="s">
        <v>4082</v>
      </c>
      <c r="M1067" t="s">
        <v>4274</v>
      </c>
    </row>
    <row r="1068" spans="1:13" x14ac:dyDescent="0.3">
      <c r="A1068" t="s">
        <v>3883</v>
      </c>
      <c r="B1068" t="s">
        <v>3336</v>
      </c>
      <c r="C1068">
        <v>120191158</v>
      </c>
      <c r="D1068">
        <v>120191146</v>
      </c>
      <c r="E1068" t="s">
        <v>3457</v>
      </c>
      <c r="G1068" t="s">
        <v>2198</v>
      </c>
      <c r="H1068" t="s">
        <v>1119</v>
      </c>
      <c r="I1068" t="s">
        <v>3202</v>
      </c>
      <c r="L1068" t="s">
        <v>3991</v>
      </c>
      <c r="M1068" t="s">
        <v>4274</v>
      </c>
    </row>
    <row r="1069" spans="1:13" x14ac:dyDescent="0.3">
      <c r="A1069" t="s">
        <v>3884</v>
      </c>
      <c r="B1069" t="s">
        <v>3336</v>
      </c>
      <c r="C1069">
        <v>120191158</v>
      </c>
      <c r="D1069">
        <v>120191147</v>
      </c>
      <c r="E1069" t="s">
        <v>3458</v>
      </c>
      <c r="G1069" t="s">
        <v>2386</v>
      </c>
      <c r="H1069" t="s">
        <v>3203</v>
      </c>
      <c r="I1069" t="s">
        <v>3204</v>
      </c>
      <c r="L1069" t="s">
        <v>4006</v>
      </c>
      <c r="M1069" t="s">
        <v>4274</v>
      </c>
    </row>
    <row r="1070" spans="1:13" x14ac:dyDescent="0.3">
      <c r="A1070" t="s">
        <v>3880</v>
      </c>
      <c r="B1070" t="s">
        <v>3336</v>
      </c>
      <c r="C1070">
        <v>120191158</v>
      </c>
      <c r="D1070">
        <v>120191143</v>
      </c>
      <c r="E1070" t="s">
        <v>3454</v>
      </c>
      <c r="G1070" t="s">
        <v>2198</v>
      </c>
      <c r="H1070" t="s">
        <v>2242</v>
      </c>
      <c r="I1070" t="s">
        <v>1259</v>
      </c>
      <c r="L1070" t="s">
        <v>4006</v>
      </c>
      <c r="M1070" t="s">
        <v>4274</v>
      </c>
    </row>
    <row r="1071" spans="1:13" x14ac:dyDescent="0.3">
      <c r="A1071" t="s">
        <v>3892</v>
      </c>
      <c r="B1071" t="s">
        <v>3336</v>
      </c>
      <c r="C1071">
        <v>120191158</v>
      </c>
      <c r="D1071">
        <v>120191305</v>
      </c>
      <c r="E1071" t="s">
        <v>3466</v>
      </c>
      <c r="G1071" t="s">
        <v>2198</v>
      </c>
      <c r="H1071" t="s">
        <v>1270</v>
      </c>
      <c r="I1071" t="s">
        <v>3216</v>
      </c>
      <c r="L1071" t="s">
        <v>4080</v>
      </c>
      <c r="M1071" t="s">
        <v>4274</v>
      </c>
    </row>
    <row r="1072" spans="1:13" x14ac:dyDescent="0.3">
      <c r="A1072" t="s">
        <v>3872</v>
      </c>
      <c r="B1072" t="s">
        <v>3336</v>
      </c>
      <c r="C1072">
        <v>120191158</v>
      </c>
      <c r="D1072">
        <v>120191273</v>
      </c>
      <c r="E1072" t="s">
        <v>3446</v>
      </c>
      <c r="G1072" t="s">
        <v>2386</v>
      </c>
      <c r="H1072" t="s">
        <v>2493</v>
      </c>
      <c r="I1072" t="s">
        <v>2620</v>
      </c>
      <c r="L1072" t="s">
        <v>3986</v>
      </c>
      <c r="M1072" t="s">
        <v>4274</v>
      </c>
    </row>
    <row r="1073" spans="1:13" x14ac:dyDescent="0.3">
      <c r="A1073" t="s">
        <v>3868</v>
      </c>
      <c r="B1073" t="s">
        <v>3336</v>
      </c>
      <c r="C1073">
        <v>120191158</v>
      </c>
      <c r="D1073">
        <v>120191269</v>
      </c>
      <c r="E1073" t="s">
        <v>3442</v>
      </c>
      <c r="G1073" t="s">
        <v>2198</v>
      </c>
      <c r="H1073" t="s">
        <v>2523</v>
      </c>
      <c r="I1073" t="s">
        <v>2729</v>
      </c>
      <c r="L1073" t="s">
        <v>4064</v>
      </c>
      <c r="M1073" t="s">
        <v>4274</v>
      </c>
    </row>
    <row r="1074" spans="1:13" x14ac:dyDescent="0.3">
      <c r="A1074" t="s">
        <v>3906</v>
      </c>
      <c r="B1074" t="s">
        <v>3336</v>
      </c>
      <c r="C1074">
        <v>120191158</v>
      </c>
      <c r="D1074">
        <v>120191339</v>
      </c>
      <c r="E1074" t="s">
        <v>3480</v>
      </c>
      <c r="G1074" t="s">
        <v>2198</v>
      </c>
      <c r="H1074" t="s">
        <v>3234</v>
      </c>
      <c r="I1074" t="s">
        <v>3235</v>
      </c>
      <c r="L1074" t="s">
        <v>4090</v>
      </c>
      <c r="M1074" t="s">
        <v>4274</v>
      </c>
    </row>
    <row r="1075" spans="1:13" x14ac:dyDescent="0.3">
      <c r="A1075" t="s">
        <v>3908</v>
      </c>
      <c r="B1075" t="s">
        <v>3336</v>
      </c>
      <c r="C1075">
        <v>120191158</v>
      </c>
      <c r="D1075">
        <v>120191341</v>
      </c>
      <c r="E1075" t="s">
        <v>3482</v>
      </c>
      <c r="G1075" t="s">
        <v>2198</v>
      </c>
      <c r="H1075" t="s">
        <v>3236</v>
      </c>
      <c r="I1075" t="s">
        <v>3237</v>
      </c>
      <c r="L1075" t="s">
        <v>4092</v>
      </c>
      <c r="M1075" t="s">
        <v>4274</v>
      </c>
    </row>
    <row r="1076" spans="1:13" x14ac:dyDescent="0.3">
      <c r="A1076" t="s">
        <v>3887</v>
      </c>
      <c r="B1076" t="s">
        <v>3336</v>
      </c>
      <c r="C1076">
        <v>120191158</v>
      </c>
      <c r="D1076">
        <v>120191300</v>
      </c>
      <c r="E1076" t="s">
        <v>3461</v>
      </c>
      <c r="G1076" t="s">
        <v>2386</v>
      </c>
      <c r="H1076" t="s">
        <v>3207</v>
      </c>
      <c r="I1076" t="s">
        <v>3208</v>
      </c>
      <c r="L1076" t="s">
        <v>4076</v>
      </c>
      <c r="M1076" t="s">
        <v>4274</v>
      </c>
    </row>
    <row r="1077" spans="1:13" x14ac:dyDescent="0.3">
      <c r="A1077" t="s">
        <v>3879</v>
      </c>
      <c r="B1077" t="s">
        <v>3336</v>
      </c>
      <c r="C1077">
        <v>120191158</v>
      </c>
      <c r="D1077">
        <v>120191142</v>
      </c>
      <c r="E1077" t="s">
        <v>3453</v>
      </c>
      <c r="G1077" t="s">
        <v>2198</v>
      </c>
      <c r="H1077" t="s">
        <v>1133</v>
      </c>
      <c r="I1077" t="s">
        <v>3198</v>
      </c>
      <c r="L1077" t="s">
        <v>3986</v>
      </c>
      <c r="M1077" t="s">
        <v>4274</v>
      </c>
    </row>
    <row r="1078" spans="1:13" x14ac:dyDescent="0.3">
      <c r="A1078" t="s">
        <v>4277</v>
      </c>
      <c r="B1078" t="s">
        <v>4278</v>
      </c>
      <c r="C1078">
        <v>527161</v>
      </c>
      <c r="D1078">
        <v>120210008</v>
      </c>
      <c r="E1078" t="s">
        <v>4279</v>
      </c>
      <c r="G1078" t="s">
        <v>2198</v>
      </c>
      <c r="H1078" t="s">
        <v>1143</v>
      </c>
      <c r="I1078" t="s">
        <v>2326</v>
      </c>
      <c r="J1078" t="s">
        <v>2200</v>
      </c>
    </row>
    <row r="1079" spans="1:13" x14ac:dyDescent="0.3">
      <c r="A1079" t="s">
        <v>4280</v>
      </c>
      <c r="B1079" t="s">
        <v>4278</v>
      </c>
      <c r="C1079">
        <v>527161</v>
      </c>
      <c r="D1079">
        <v>100739308</v>
      </c>
      <c r="E1079" t="s">
        <v>4281</v>
      </c>
      <c r="G1079" t="s">
        <v>2198</v>
      </c>
      <c r="H1079" t="s">
        <v>1115</v>
      </c>
      <c r="I1079" t="s">
        <v>4282</v>
      </c>
      <c r="K1079" t="s">
        <v>4283</v>
      </c>
      <c r="M1079" t="s">
        <v>4284</v>
      </c>
    </row>
    <row r="1080" spans="1:13" x14ac:dyDescent="0.3">
      <c r="A1080" t="s">
        <v>4285</v>
      </c>
      <c r="B1080" t="s">
        <v>4278</v>
      </c>
      <c r="C1080">
        <v>527161</v>
      </c>
      <c r="D1080">
        <v>100739307</v>
      </c>
      <c r="E1080" t="s">
        <v>4286</v>
      </c>
      <c r="G1080" t="s">
        <v>2198</v>
      </c>
      <c r="H1080" t="s">
        <v>1093</v>
      </c>
      <c r="I1080" t="s">
        <v>1176</v>
      </c>
      <c r="L1080" t="s">
        <v>4270</v>
      </c>
      <c r="M1080" t="s">
        <v>4287</v>
      </c>
    </row>
    <row r="1081" spans="1:13" x14ac:dyDescent="0.3">
      <c r="A1081" t="s">
        <v>4288</v>
      </c>
      <c r="B1081" t="s">
        <v>4278</v>
      </c>
      <c r="C1081">
        <v>527161</v>
      </c>
      <c r="D1081">
        <v>100739305</v>
      </c>
      <c r="E1081" t="s">
        <v>4289</v>
      </c>
      <c r="G1081" t="s">
        <v>2198</v>
      </c>
      <c r="H1081" t="s">
        <v>1119</v>
      </c>
      <c r="I1081" t="s">
        <v>4290</v>
      </c>
      <c r="L1081" t="s">
        <v>4291</v>
      </c>
      <c r="M1081" t="s">
        <v>4284</v>
      </c>
    </row>
    <row r="1082" spans="1:13" x14ac:dyDescent="0.3">
      <c r="A1082" t="s">
        <v>4292</v>
      </c>
      <c r="B1082" t="s">
        <v>4278</v>
      </c>
      <c r="C1082">
        <v>527161</v>
      </c>
      <c r="D1082">
        <v>100739306</v>
      </c>
      <c r="E1082" t="s">
        <v>4293</v>
      </c>
      <c r="G1082" t="s">
        <v>2198</v>
      </c>
      <c r="H1082" t="s">
        <v>4294</v>
      </c>
      <c r="I1082" t="s">
        <v>4159</v>
      </c>
      <c r="L1082" t="s">
        <v>4295</v>
      </c>
      <c r="M1082" t="s">
        <v>4284</v>
      </c>
    </row>
    <row r="1083" spans="1:13" x14ac:dyDescent="0.3">
      <c r="A1083" t="s">
        <v>56</v>
      </c>
      <c r="B1083" t="s">
        <v>4296</v>
      </c>
      <c r="C1083">
        <v>7467067</v>
      </c>
      <c r="D1083">
        <v>100997852</v>
      </c>
      <c r="E1083" t="s">
        <v>4297</v>
      </c>
      <c r="G1083" t="s">
        <v>2198</v>
      </c>
      <c r="H1083" t="s">
        <v>4298</v>
      </c>
      <c r="I1083" t="s">
        <v>4299</v>
      </c>
      <c r="M1083" t="s">
        <v>4300</v>
      </c>
    </row>
    <row r="1084" spans="1:13" x14ac:dyDescent="0.3">
      <c r="A1084" t="s">
        <v>4301</v>
      </c>
      <c r="B1084" t="s">
        <v>4296</v>
      </c>
      <c r="C1084">
        <v>7467067</v>
      </c>
      <c r="D1084">
        <v>101095811</v>
      </c>
      <c r="E1084" t="s">
        <v>4302</v>
      </c>
      <c r="G1084" t="s">
        <v>2198</v>
      </c>
      <c r="H1084" t="s">
        <v>1269</v>
      </c>
      <c r="I1084" t="s">
        <v>4303</v>
      </c>
      <c r="M1084" t="s">
        <v>4300</v>
      </c>
    </row>
    <row r="1085" spans="1:13" x14ac:dyDescent="0.3">
      <c r="A1085" t="s">
        <v>4304</v>
      </c>
      <c r="B1085" t="s">
        <v>4296</v>
      </c>
      <c r="C1085">
        <v>7467067</v>
      </c>
      <c r="D1085">
        <v>101036492</v>
      </c>
      <c r="E1085" t="s">
        <v>4305</v>
      </c>
      <c r="G1085" t="s">
        <v>2198</v>
      </c>
      <c r="H1085" t="s">
        <v>4306</v>
      </c>
      <c r="I1085" t="s">
        <v>4307</v>
      </c>
      <c r="M1085" t="s">
        <v>4300</v>
      </c>
    </row>
    <row r="1086" spans="1:13" x14ac:dyDescent="0.3">
      <c r="A1086" t="s">
        <v>118</v>
      </c>
      <c r="B1086" t="s">
        <v>4296</v>
      </c>
      <c r="C1086">
        <v>7467067</v>
      </c>
      <c r="D1086">
        <v>101036471</v>
      </c>
      <c r="E1086" t="s">
        <v>4308</v>
      </c>
      <c r="G1086" t="s">
        <v>2198</v>
      </c>
      <c r="H1086" t="s">
        <v>2310</v>
      </c>
      <c r="I1086" t="s">
        <v>4309</v>
      </c>
      <c r="M1086" t="s">
        <v>4300</v>
      </c>
    </row>
    <row r="1087" spans="1:13" x14ac:dyDescent="0.3">
      <c r="A1087" t="s">
        <v>58</v>
      </c>
      <c r="B1087" t="s">
        <v>4296</v>
      </c>
      <c r="C1087">
        <v>7467067</v>
      </c>
      <c r="D1087">
        <v>100997850</v>
      </c>
      <c r="E1087" t="s">
        <v>4310</v>
      </c>
      <c r="F1087" t="s">
        <v>4311</v>
      </c>
      <c r="G1087" t="s">
        <v>2198</v>
      </c>
      <c r="H1087" t="s">
        <v>1226</v>
      </c>
      <c r="I1087" t="s">
        <v>4312</v>
      </c>
      <c r="M1087" t="s">
        <v>4300</v>
      </c>
    </row>
    <row r="1088" spans="1:13" x14ac:dyDescent="0.3">
      <c r="A1088" t="s">
        <v>86</v>
      </c>
      <c r="B1088" t="s">
        <v>4296</v>
      </c>
      <c r="C1088">
        <v>7467067</v>
      </c>
      <c r="D1088">
        <v>101035131</v>
      </c>
      <c r="E1088" t="s">
        <v>4313</v>
      </c>
      <c r="G1088" t="s">
        <v>2198</v>
      </c>
      <c r="H1088" t="s">
        <v>4314</v>
      </c>
      <c r="I1088" t="s">
        <v>4315</v>
      </c>
      <c r="M1088" t="s">
        <v>4300</v>
      </c>
    </row>
    <row r="1089" spans="1:13" x14ac:dyDescent="0.3">
      <c r="A1089" t="s">
        <v>87</v>
      </c>
      <c r="B1089" t="s">
        <v>4296</v>
      </c>
      <c r="C1089">
        <v>7467067</v>
      </c>
      <c r="D1089">
        <v>101035132</v>
      </c>
      <c r="E1089" t="s">
        <v>4316</v>
      </c>
      <c r="G1089" t="s">
        <v>2198</v>
      </c>
      <c r="H1089" t="s">
        <v>3250</v>
      </c>
      <c r="I1089" t="s">
        <v>4317</v>
      </c>
      <c r="M1089" t="s">
        <v>4300</v>
      </c>
    </row>
    <row r="1090" spans="1:13" x14ac:dyDescent="0.3">
      <c r="A1090" t="s">
        <v>85</v>
      </c>
      <c r="B1090" t="s">
        <v>4296</v>
      </c>
      <c r="C1090">
        <v>7467067</v>
      </c>
      <c r="D1090">
        <v>101035130</v>
      </c>
      <c r="E1090" t="s">
        <v>4318</v>
      </c>
      <c r="G1090" t="s">
        <v>2198</v>
      </c>
      <c r="H1090" t="s">
        <v>1192</v>
      </c>
      <c r="I1090" t="s">
        <v>4319</v>
      </c>
      <c r="M1090" t="s">
        <v>4300</v>
      </c>
    </row>
    <row r="1091" spans="1:13" x14ac:dyDescent="0.3">
      <c r="A1091" t="s">
        <v>59</v>
      </c>
      <c r="B1091" t="s">
        <v>4296</v>
      </c>
      <c r="C1091">
        <v>7467067</v>
      </c>
      <c r="D1091">
        <v>100997851</v>
      </c>
      <c r="E1091" t="s">
        <v>4320</v>
      </c>
      <c r="F1091" t="s">
        <v>4321</v>
      </c>
      <c r="G1091" t="s">
        <v>2198</v>
      </c>
      <c r="H1091" t="s">
        <v>1244</v>
      </c>
      <c r="I1091" t="s">
        <v>4322</v>
      </c>
      <c r="M1091" t="s">
        <v>4300</v>
      </c>
    </row>
    <row r="1092" spans="1:13" x14ac:dyDescent="0.3">
      <c r="A1092" t="s">
        <v>1921</v>
      </c>
      <c r="B1092" t="s">
        <v>4323</v>
      </c>
      <c r="C1092">
        <v>534217</v>
      </c>
      <c r="D1092">
        <v>120169546</v>
      </c>
      <c r="E1092" t="s">
        <v>1940</v>
      </c>
      <c r="G1092" t="s">
        <v>2386</v>
      </c>
      <c r="H1092" t="s">
        <v>4324</v>
      </c>
      <c r="I1092" t="s">
        <v>4325</v>
      </c>
      <c r="J1092" t="s">
        <v>2200</v>
      </c>
    </row>
    <row r="1093" spans="1:13" x14ac:dyDescent="0.3">
      <c r="A1093" t="s">
        <v>1922</v>
      </c>
      <c r="B1093" t="s">
        <v>4323</v>
      </c>
      <c r="C1093">
        <v>534217</v>
      </c>
      <c r="D1093">
        <v>120169357</v>
      </c>
      <c r="E1093" t="s">
        <v>1941</v>
      </c>
      <c r="G1093" t="s">
        <v>2198</v>
      </c>
      <c r="H1093" t="s">
        <v>4326</v>
      </c>
      <c r="I1093" t="s">
        <v>2857</v>
      </c>
      <c r="J1093" t="s">
        <v>2200</v>
      </c>
      <c r="L1093" t="s">
        <v>2432</v>
      </c>
    </row>
    <row r="1094" spans="1:13" x14ac:dyDescent="0.3">
      <c r="A1094" t="s">
        <v>1923</v>
      </c>
      <c r="B1094" t="s">
        <v>4323</v>
      </c>
      <c r="C1094">
        <v>534217</v>
      </c>
      <c r="D1094">
        <v>120169549</v>
      </c>
      <c r="E1094" t="s">
        <v>1942</v>
      </c>
      <c r="G1094" t="s">
        <v>2198</v>
      </c>
      <c r="H1094" t="s">
        <v>1252</v>
      </c>
      <c r="I1094" t="s">
        <v>2897</v>
      </c>
      <c r="J1094" t="s">
        <v>2200</v>
      </c>
    </row>
    <row r="1095" spans="1:13" x14ac:dyDescent="0.3">
      <c r="A1095" t="s">
        <v>1924</v>
      </c>
      <c r="B1095" t="s">
        <v>4323</v>
      </c>
      <c r="C1095">
        <v>534217</v>
      </c>
      <c r="D1095">
        <v>120169545</v>
      </c>
      <c r="E1095" t="s">
        <v>1943</v>
      </c>
      <c r="G1095" t="s">
        <v>2386</v>
      </c>
      <c r="H1095" t="s">
        <v>4327</v>
      </c>
      <c r="I1095" t="s">
        <v>4328</v>
      </c>
      <c r="J1095" t="s">
        <v>2200</v>
      </c>
    </row>
    <row r="1096" spans="1:13" x14ac:dyDescent="0.3">
      <c r="A1096" t="s">
        <v>1925</v>
      </c>
      <c r="B1096" t="s">
        <v>4323</v>
      </c>
      <c r="C1096">
        <v>534217</v>
      </c>
      <c r="D1096">
        <v>120169650</v>
      </c>
      <c r="E1096" t="s">
        <v>1944</v>
      </c>
      <c r="G1096" t="s">
        <v>2386</v>
      </c>
      <c r="H1096" t="s">
        <v>4329</v>
      </c>
      <c r="I1096" t="s">
        <v>4330</v>
      </c>
      <c r="J1096" t="s">
        <v>2200</v>
      </c>
      <c r="L1096" t="s">
        <v>2432</v>
      </c>
    </row>
    <row r="1097" spans="1:13" x14ac:dyDescent="0.3">
      <c r="A1097" t="s">
        <v>1926</v>
      </c>
      <c r="B1097" t="s">
        <v>4323</v>
      </c>
      <c r="C1097">
        <v>534217</v>
      </c>
      <c r="D1097">
        <v>120169651</v>
      </c>
      <c r="E1097" t="s">
        <v>1945</v>
      </c>
      <c r="G1097" t="s">
        <v>2198</v>
      </c>
      <c r="H1097" t="s">
        <v>4256</v>
      </c>
      <c r="I1097" t="s">
        <v>4331</v>
      </c>
      <c r="J1097" t="s">
        <v>2200</v>
      </c>
      <c r="L1097" t="s">
        <v>2432</v>
      </c>
    </row>
    <row r="1098" spans="1:13" x14ac:dyDescent="0.3">
      <c r="A1098" t="s">
        <v>1927</v>
      </c>
      <c r="B1098" t="s">
        <v>4323</v>
      </c>
      <c r="C1098">
        <v>534217</v>
      </c>
      <c r="D1098">
        <v>120169526</v>
      </c>
      <c r="E1098" t="s">
        <v>1946</v>
      </c>
      <c r="G1098" t="s">
        <v>2198</v>
      </c>
      <c r="H1098" t="s">
        <v>2639</v>
      </c>
      <c r="I1098" t="s">
        <v>4332</v>
      </c>
      <c r="J1098" t="s">
        <v>2200</v>
      </c>
      <c r="L1098" t="s">
        <v>2432</v>
      </c>
    </row>
    <row r="1099" spans="1:13" x14ac:dyDescent="0.3">
      <c r="A1099" t="s">
        <v>1928</v>
      </c>
      <c r="B1099" t="s">
        <v>4323</v>
      </c>
      <c r="C1099">
        <v>534217</v>
      </c>
      <c r="D1099">
        <v>120169498</v>
      </c>
      <c r="E1099" t="s">
        <v>1947</v>
      </c>
      <c r="G1099" t="s">
        <v>2198</v>
      </c>
      <c r="H1099" t="s">
        <v>4333</v>
      </c>
      <c r="I1099" t="s">
        <v>4334</v>
      </c>
      <c r="J1099" t="s">
        <v>2200</v>
      </c>
      <c r="L1099" t="s">
        <v>2432</v>
      </c>
    </row>
    <row r="1100" spans="1:13" x14ac:dyDescent="0.3">
      <c r="A1100" t="s">
        <v>1929</v>
      </c>
      <c r="B1100" t="s">
        <v>4323</v>
      </c>
      <c r="C1100">
        <v>534217</v>
      </c>
      <c r="D1100">
        <v>120069753</v>
      </c>
      <c r="E1100" t="s">
        <v>1948</v>
      </c>
      <c r="G1100" t="s">
        <v>2198</v>
      </c>
      <c r="H1100" t="s">
        <v>4335</v>
      </c>
      <c r="I1100" t="s">
        <v>4336</v>
      </c>
      <c r="J1100" t="s">
        <v>2200</v>
      </c>
      <c r="L1100" t="s">
        <v>4337</v>
      </c>
    </row>
    <row r="1101" spans="1:13" x14ac:dyDescent="0.3">
      <c r="A1101" t="s">
        <v>4341</v>
      </c>
      <c r="B1101" t="s">
        <v>4323</v>
      </c>
      <c r="C1101">
        <v>534217</v>
      </c>
      <c r="D1101">
        <v>120169547</v>
      </c>
      <c r="E1101" t="s">
        <v>1953</v>
      </c>
      <c r="G1101" t="s">
        <v>2198</v>
      </c>
      <c r="H1101" t="s">
        <v>4342</v>
      </c>
      <c r="I1101" t="s">
        <v>2686</v>
      </c>
      <c r="J1101" t="s">
        <v>2200</v>
      </c>
    </row>
    <row r="1102" spans="1:13" x14ac:dyDescent="0.3">
      <c r="A1102" t="s">
        <v>4343</v>
      </c>
      <c r="B1102" t="s">
        <v>4344</v>
      </c>
      <c r="C1102">
        <v>510794</v>
      </c>
      <c r="D1102">
        <v>100729036</v>
      </c>
      <c r="G1102" t="s">
        <v>2198</v>
      </c>
      <c r="H1102" t="s">
        <v>4345</v>
      </c>
      <c r="I1102" t="s">
        <v>4346</v>
      </c>
      <c r="K1102" t="s">
        <v>2431</v>
      </c>
      <c r="M1102" t="s">
        <v>4347</v>
      </c>
    </row>
    <row r="1103" spans="1:13" x14ac:dyDescent="0.3">
      <c r="A1103" t="s">
        <v>4348</v>
      </c>
      <c r="B1103" t="s">
        <v>4344</v>
      </c>
      <c r="C1103">
        <v>510794</v>
      </c>
      <c r="D1103">
        <v>100729024</v>
      </c>
      <c r="E1103" t="s">
        <v>4349</v>
      </c>
      <c r="G1103" t="s">
        <v>2198</v>
      </c>
      <c r="H1103" t="s">
        <v>4350</v>
      </c>
      <c r="I1103" t="s">
        <v>4351</v>
      </c>
      <c r="L1103" t="s">
        <v>4352</v>
      </c>
      <c r="M1103" t="s">
        <v>4353</v>
      </c>
    </row>
    <row r="1104" spans="1:13" x14ac:dyDescent="0.3">
      <c r="A1104" t="s">
        <v>4354</v>
      </c>
      <c r="B1104" t="s">
        <v>4344</v>
      </c>
      <c r="C1104">
        <v>510794</v>
      </c>
      <c r="D1104">
        <v>100729028</v>
      </c>
      <c r="E1104" t="s">
        <v>4355</v>
      </c>
      <c r="G1104" t="s">
        <v>2198</v>
      </c>
      <c r="H1104" t="s">
        <v>1089</v>
      </c>
      <c r="I1104" t="s">
        <v>4356</v>
      </c>
      <c r="L1104" t="s">
        <v>2343</v>
      </c>
      <c r="M1104" t="s">
        <v>4347</v>
      </c>
    </row>
    <row r="1105" spans="1:13" x14ac:dyDescent="0.3">
      <c r="A1105" t="s">
        <v>4357</v>
      </c>
      <c r="B1105" t="s">
        <v>4344</v>
      </c>
      <c r="C1105">
        <v>510794</v>
      </c>
      <c r="D1105">
        <v>100729040</v>
      </c>
      <c r="E1105" t="s">
        <v>4358</v>
      </c>
      <c r="G1105" t="s">
        <v>2198</v>
      </c>
      <c r="H1105" t="s">
        <v>1161</v>
      </c>
      <c r="I1105" t="s">
        <v>4359</v>
      </c>
      <c r="K1105" t="s">
        <v>2431</v>
      </c>
      <c r="L1105" t="s">
        <v>4360</v>
      </c>
      <c r="M1105" t="s">
        <v>4361</v>
      </c>
    </row>
    <row r="1106" spans="1:13" x14ac:dyDescent="0.3">
      <c r="A1106" t="s">
        <v>4362</v>
      </c>
      <c r="B1106" t="s">
        <v>4344</v>
      </c>
      <c r="C1106">
        <v>510794</v>
      </c>
      <c r="D1106">
        <v>100729032</v>
      </c>
      <c r="E1106" t="s">
        <v>4363</v>
      </c>
      <c r="G1106" t="s">
        <v>2198</v>
      </c>
      <c r="H1106" t="s">
        <v>2749</v>
      </c>
      <c r="I1106" t="s">
        <v>4364</v>
      </c>
      <c r="L1106" t="s">
        <v>2432</v>
      </c>
      <c r="M1106" t="s">
        <v>4365</v>
      </c>
    </row>
    <row r="1107" spans="1:13" x14ac:dyDescent="0.3">
      <c r="A1107" t="s">
        <v>4366</v>
      </c>
      <c r="B1107" t="s">
        <v>4344</v>
      </c>
      <c r="C1107">
        <v>510794</v>
      </c>
      <c r="D1107">
        <v>101029195</v>
      </c>
      <c r="E1107" t="s">
        <v>4367</v>
      </c>
      <c r="G1107" t="s">
        <v>2198</v>
      </c>
      <c r="H1107" t="s">
        <v>4368</v>
      </c>
      <c r="I1107" t="s">
        <v>4369</v>
      </c>
      <c r="J1107" t="s">
        <v>2200</v>
      </c>
      <c r="K1107" t="s">
        <v>2432</v>
      </c>
      <c r="M1107" t="s">
        <v>4370</v>
      </c>
    </row>
    <row r="1108" spans="1:13" x14ac:dyDescent="0.3">
      <c r="A1108" t="s">
        <v>4371</v>
      </c>
      <c r="B1108" t="s">
        <v>4344</v>
      </c>
      <c r="C1108">
        <v>510794</v>
      </c>
      <c r="D1108">
        <v>100729025</v>
      </c>
      <c r="E1108" t="s">
        <v>4372</v>
      </c>
      <c r="G1108" t="s">
        <v>2198</v>
      </c>
      <c r="H1108" t="s">
        <v>1354</v>
      </c>
      <c r="I1108" t="s">
        <v>4373</v>
      </c>
      <c r="L1108" t="s">
        <v>4074</v>
      </c>
      <c r="M1108" t="s">
        <v>4347</v>
      </c>
    </row>
    <row r="1109" spans="1:13" x14ac:dyDescent="0.3">
      <c r="A1109" t="s">
        <v>4374</v>
      </c>
      <c r="B1109" t="s">
        <v>4344</v>
      </c>
      <c r="C1109">
        <v>510794</v>
      </c>
      <c r="D1109">
        <v>100729035</v>
      </c>
      <c r="E1109" t="s">
        <v>4375</v>
      </c>
      <c r="G1109" t="s">
        <v>2198</v>
      </c>
      <c r="H1109" t="s">
        <v>3260</v>
      </c>
      <c r="I1109" t="s">
        <v>3263</v>
      </c>
      <c r="L1109" t="s">
        <v>4376</v>
      </c>
      <c r="M1109" t="s">
        <v>4377</v>
      </c>
    </row>
    <row r="1110" spans="1:13" x14ac:dyDescent="0.3">
      <c r="A1110" t="s">
        <v>4378</v>
      </c>
      <c r="B1110" t="s">
        <v>4344</v>
      </c>
      <c r="C1110">
        <v>510794</v>
      </c>
      <c r="D1110">
        <v>100729031</v>
      </c>
      <c r="E1110" t="s">
        <v>4379</v>
      </c>
      <c r="G1110" t="s">
        <v>2198</v>
      </c>
      <c r="H1110" t="s">
        <v>4380</v>
      </c>
      <c r="I1110" t="s">
        <v>4381</v>
      </c>
      <c r="L1110" t="s">
        <v>4382</v>
      </c>
      <c r="M1110" t="s">
        <v>4383</v>
      </c>
    </row>
    <row r="1111" spans="1:13" x14ac:dyDescent="0.3">
      <c r="A1111" t="s">
        <v>4384</v>
      </c>
      <c r="B1111" t="s">
        <v>4344</v>
      </c>
      <c r="C1111">
        <v>510794</v>
      </c>
      <c r="D1111">
        <v>100727649</v>
      </c>
      <c r="E1111" t="s">
        <v>4385</v>
      </c>
      <c r="G1111" t="s">
        <v>2198</v>
      </c>
      <c r="H1111" t="s">
        <v>4386</v>
      </c>
      <c r="I1111" t="s">
        <v>4387</v>
      </c>
      <c r="L1111" t="s">
        <v>2954</v>
      </c>
      <c r="M1111" t="s">
        <v>4388</v>
      </c>
    </row>
    <row r="1112" spans="1:13" x14ac:dyDescent="0.3">
      <c r="A1112" t="s">
        <v>4389</v>
      </c>
      <c r="B1112" t="s">
        <v>4344</v>
      </c>
      <c r="C1112">
        <v>510794</v>
      </c>
      <c r="D1112">
        <v>100729034</v>
      </c>
      <c r="G1112" t="s">
        <v>2198</v>
      </c>
      <c r="H1112" t="s">
        <v>4390</v>
      </c>
      <c r="I1112" t="s">
        <v>4391</v>
      </c>
      <c r="K1112" t="s">
        <v>2432</v>
      </c>
      <c r="M1112" t="s">
        <v>4347</v>
      </c>
    </row>
    <row r="1113" spans="1:13" x14ac:dyDescent="0.3">
      <c r="A1113" t="s">
        <v>4392</v>
      </c>
      <c r="B1113" t="s">
        <v>4344</v>
      </c>
      <c r="C1113">
        <v>510794</v>
      </c>
      <c r="D1113">
        <v>100729019</v>
      </c>
      <c r="G1113" t="s">
        <v>2198</v>
      </c>
      <c r="H1113" t="s">
        <v>2415</v>
      </c>
      <c r="I1113" t="s">
        <v>4391</v>
      </c>
      <c r="M1113" t="s">
        <v>4347</v>
      </c>
    </row>
    <row r="1114" spans="1:13" x14ac:dyDescent="0.3">
      <c r="A1114" t="s">
        <v>4393</v>
      </c>
      <c r="B1114" t="s">
        <v>4344</v>
      </c>
      <c r="C1114">
        <v>510794</v>
      </c>
      <c r="D1114">
        <v>100729027</v>
      </c>
      <c r="E1114" t="s">
        <v>4394</v>
      </c>
      <c r="G1114" t="s">
        <v>2198</v>
      </c>
      <c r="H1114" t="s">
        <v>2608</v>
      </c>
      <c r="I1114" t="s">
        <v>4391</v>
      </c>
      <c r="L1114" t="s">
        <v>4395</v>
      </c>
      <c r="M1114" t="s">
        <v>4347</v>
      </c>
    </row>
    <row r="1115" spans="1:13" x14ac:dyDescent="0.3">
      <c r="A1115" t="s">
        <v>4396</v>
      </c>
      <c r="B1115" t="s">
        <v>4344</v>
      </c>
      <c r="C1115">
        <v>510794</v>
      </c>
      <c r="D1115">
        <v>100729014</v>
      </c>
      <c r="E1115" t="s">
        <v>4397</v>
      </c>
      <c r="G1115" t="s">
        <v>2198</v>
      </c>
      <c r="H1115" t="s">
        <v>3221</v>
      </c>
      <c r="I1115" t="s">
        <v>4398</v>
      </c>
      <c r="L1115" t="s">
        <v>3993</v>
      </c>
      <c r="M1115" t="s">
        <v>4399</v>
      </c>
    </row>
    <row r="1116" spans="1:13" x14ac:dyDescent="0.3">
      <c r="A1116" t="s">
        <v>4400</v>
      </c>
      <c r="B1116" t="s">
        <v>4344</v>
      </c>
      <c r="C1116">
        <v>510794</v>
      </c>
      <c r="D1116">
        <v>100729015</v>
      </c>
      <c r="E1116" t="s">
        <v>4401</v>
      </c>
      <c r="G1116" t="s">
        <v>2198</v>
      </c>
      <c r="H1116" t="s">
        <v>4402</v>
      </c>
      <c r="I1116" t="s">
        <v>4403</v>
      </c>
      <c r="L1116" t="s">
        <v>4404</v>
      </c>
      <c r="M1116" t="s">
        <v>4405</v>
      </c>
    </row>
    <row r="1117" spans="1:13" x14ac:dyDescent="0.3">
      <c r="A1117" t="s">
        <v>4406</v>
      </c>
      <c r="B1117" t="s">
        <v>4344</v>
      </c>
      <c r="C1117">
        <v>510794</v>
      </c>
      <c r="D1117">
        <v>100729026</v>
      </c>
      <c r="E1117" t="s">
        <v>4407</v>
      </c>
      <c r="G1117" t="s">
        <v>2198</v>
      </c>
      <c r="H1117" t="s">
        <v>4408</v>
      </c>
      <c r="I1117" t="s">
        <v>4409</v>
      </c>
      <c r="L1117" t="s">
        <v>4410</v>
      </c>
      <c r="M1117" t="s">
        <v>4411</v>
      </c>
    </row>
    <row r="1118" spans="1:13" x14ac:dyDescent="0.3">
      <c r="A1118" t="s">
        <v>4412</v>
      </c>
      <c r="B1118" t="s">
        <v>4344</v>
      </c>
      <c r="C1118">
        <v>510794</v>
      </c>
      <c r="D1118">
        <v>100729017</v>
      </c>
      <c r="E1118" t="s">
        <v>4413</v>
      </c>
      <c r="G1118" t="s">
        <v>2198</v>
      </c>
      <c r="H1118" t="s">
        <v>4414</v>
      </c>
      <c r="I1118" t="s">
        <v>4415</v>
      </c>
      <c r="L1118" t="s">
        <v>4416</v>
      </c>
      <c r="M1118" t="s">
        <v>4417</v>
      </c>
    </row>
    <row r="1119" spans="1:13" x14ac:dyDescent="0.3">
      <c r="A1119" t="s">
        <v>4418</v>
      </c>
      <c r="B1119" t="s">
        <v>4344</v>
      </c>
      <c r="C1119">
        <v>510794</v>
      </c>
      <c r="D1119">
        <v>100729041</v>
      </c>
      <c r="E1119" t="s">
        <v>4419</v>
      </c>
      <c r="G1119" t="s">
        <v>2198</v>
      </c>
      <c r="H1119" t="s">
        <v>4420</v>
      </c>
      <c r="I1119" t="s">
        <v>4421</v>
      </c>
      <c r="L1119" t="s">
        <v>4422</v>
      </c>
      <c r="M1119" t="s">
        <v>4365</v>
      </c>
    </row>
    <row r="1120" spans="1:13" x14ac:dyDescent="0.3">
      <c r="A1120" t="s">
        <v>4423</v>
      </c>
      <c r="B1120" t="s">
        <v>4344</v>
      </c>
      <c r="C1120">
        <v>510794</v>
      </c>
      <c r="D1120">
        <v>100729018</v>
      </c>
      <c r="G1120" t="s">
        <v>2198</v>
      </c>
      <c r="H1120" t="s">
        <v>2409</v>
      </c>
      <c r="I1120" t="s">
        <v>4424</v>
      </c>
      <c r="M1120" t="s">
        <v>4347</v>
      </c>
    </row>
    <row r="1121" spans="1:13" x14ac:dyDescent="0.3">
      <c r="A1121" t="s">
        <v>4425</v>
      </c>
      <c r="B1121" t="s">
        <v>4426</v>
      </c>
      <c r="C1121">
        <v>120116679</v>
      </c>
      <c r="D1121">
        <v>120116720</v>
      </c>
      <c r="E1121" t="s">
        <v>4427</v>
      </c>
      <c r="G1121" t="s">
        <v>2198</v>
      </c>
      <c r="H1121" t="s">
        <v>1129</v>
      </c>
      <c r="I1121" t="s">
        <v>4428</v>
      </c>
      <c r="M1121" t="s">
        <v>4429</v>
      </c>
    </row>
    <row r="1122" spans="1:13" x14ac:dyDescent="0.3">
      <c r="A1122" t="s">
        <v>868</v>
      </c>
      <c r="B1122" t="s">
        <v>4430</v>
      </c>
      <c r="C1122">
        <v>7505489</v>
      </c>
      <c r="D1122">
        <v>101083253</v>
      </c>
      <c r="E1122" t="s">
        <v>870</v>
      </c>
      <c r="F1122" t="s">
        <v>4431</v>
      </c>
      <c r="G1122" t="s">
        <v>2198</v>
      </c>
      <c r="H1122" t="s">
        <v>1131</v>
      </c>
      <c r="I1122" t="s">
        <v>4269</v>
      </c>
      <c r="M1122" t="s">
        <v>4432</v>
      </c>
    </row>
    <row r="1123" spans="1:13" x14ac:dyDescent="0.3">
      <c r="A1123" t="s">
        <v>4433</v>
      </c>
      <c r="B1123" t="s">
        <v>4434</v>
      </c>
      <c r="C1123">
        <v>120206934</v>
      </c>
      <c r="D1123">
        <v>120206935</v>
      </c>
      <c r="E1123" t="s">
        <v>4435</v>
      </c>
      <c r="F1123" t="s">
        <v>4436</v>
      </c>
      <c r="G1123" t="s">
        <v>2198</v>
      </c>
      <c r="H1123" t="s">
        <v>2639</v>
      </c>
      <c r="I1123" t="s">
        <v>4312</v>
      </c>
      <c r="L1123" t="s">
        <v>4270</v>
      </c>
      <c r="M1123" t="s">
        <v>4437</v>
      </c>
    </row>
    <row r="1124" spans="1:13" x14ac:dyDescent="0.3">
      <c r="A1124" t="s">
        <v>4438</v>
      </c>
      <c r="B1124" t="s">
        <v>4434</v>
      </c>
      <c r="C1124">
        <v>120206934</v>
      </c>
      <c r="D1124">
        <v>120206937</v>
      </c>
      <c r="E1124" t="s">
        <v>4439</v>
      </c>
      <c r="G1124" t="s">
        <v>2386</v>
      </c>
      <c r="H1124" t="s">
        <v>4440</v>
      </c>
      <c r="I1124" t="s">
        <v>4312</v>
      </c>
      <c r="L1124" t="s">
        <v>4197</v>
      </c>
      <c r="M1124" t="s">
        <v>4441</v>
      </c>
    </row>
    <row r="1125" spans="1:13" x14ac:dyDescent="0.3">
      <c r="A1125" t="s">
        <v>4442</v>
      </c>
      <c r="B1125" t="s">
        <v>4434</v>
      </c>
      <c r="C1125">
        <v>120206934</v>
      </c>
      <c r="D1125">
        <v>120206936</v>
      </c>
      <c r="E1125" t="s">
        <v>4443</v>
      </c>
      <c r="G1125" t="s">
        <v>2198</v>
      </c>
      <c r="H1125" t="s">
        <v>2653</v>
      </c>
      <c r="I1125" t="s">
        <v>4312</v>
      </c>
      <c r="L1125" t="s">
        <v>2343</v>
      </c>
      <c r="M1125" t="s">
        <v>4441</v>
      </c>
    </row>
    <row r="1126" spans="1:13" x14ac:dyDescent="0.3">
      <c r="A1126" t="s">
        <v>1437</v>
      </c>
      <c r="B1126" t="s">
        <v>4444</v>
      </c>
      <c r="C1126">
        <v>7438426</v>
      </c>
      <c r="D1126">
        <v>101035548</v>
      </c>
      <c r="E1126" t="s">
        <v>281</v>
      </c>
      <c r="G1126" t="s">
        <v>2198</v>
      </c>
      <c r="H1126" t="s">
        <v>4445</v>
      </c>
      <c r="I1126" t="s">
        <v>4446</v>
      </c>
    </row>
    <row r="1127" spans="1:13" x14ac:dyDescent="0.3">
      <c r="A1127" t="s">
        <v>283</v>
      </c>
      <c r="B1127" t="s">
        <v>4444</v>
      </c>
      <c r="C1127">
        <v>7438426</v>
      </c>
      <c r="D1127">
        <v>100949918</v>
      </c>
      <c r="E1127" t="s">
        <v>284</v>
      </c>
      <c r="G1127" t="s">
        <v>2198</v>
      </c>
      <c r="H1127" t="s">
        <v>1226</v>
      </c>
      <c r="I1127" t="s">
        <v>2299</v>
      </c>
      <c r="M1127" t="s">
        <v>4447</v>
      </c>
    </row>
    <row r="1128" spans="1:13" x14ac:dyDescent="0.3">
      <c r="A1128" t="s">
        <v>285</v>
      </c>
      <c r="B1128" t="s">
        <v>4444</v>
      </c>
      <c r="C1128">
        <v>7438426</v>
      </c>
      <c r="D1128">
        <v>100949921</v>
      </c>
      <c r="E1128" t="s">
        <v>286</v>
      </c>
      <c r="G1128" t="s">
        <v>2198</v>
      </c>
      <c r="H1128" t="s">
        <v>4448</v>
      </c>
      <c r="I1128" t="s">
        <v>4449</v>
      </c>
      <c r="J1128" t="s">
        <v>2200</v>
      </c>
      <c r="K1128" t="s">
        <v>4450</v>
      </c>
    </row>
    <row r="1129" spans="1:13" x14ac:dyDescent="0.3">
      <c r="A1129" t="s">
        <v>4451</v>
      </c>
      <c r="B1129" t="s">
        <v>4444</v>
      </c>
      <c r="C1129">
        <v>7438426</v>
      </c>
      <c r="D1129">
        <v>101140228</v>
      </c>
      <c r="E1129" t="s">
        <v>4452</v>
      </c>
      <c r="G1129" t="s">
        <v>2198</v>
      </c>
      <c r="H1129" t="s">
        <v>2409</v>
      </c>
      <c r="I1129" t="s">
        <v>2857</v>
      </c>
      <c r="K1129" t="s">
        <v>2328</v>
      </c>
    </row>
    <row r="1130" spans="1:13" x14ac:dyDescent="0.3">
      <c r="A1130" t="s">
        <v>287</v>
      </c>
      <c r="B1130" t="s">
        <v>4444</v>
      </c>
      <c r="C1130">
        <v>7438426</v>
      </c>
      <c r="D1130">
        <v>101049723</v>
      </c>
      <c r="E1130" t="s">
        <v>288</v>
      </c>
      <c r="G1130" t="s">
        <v>2198</v>
      </c>
      <c r="H1130" t="s">
        <v>4448</v>
      </c>
      <c r="I1130" t="s">
        <v>2301</v>
      </c>
      <c r="J1130" t="s">
        <v>2200</v>
      </c>
      <c r="K1130" t="s">
        <v>4453</v>
      </c>
      <c r="M1130" t="s">
        <v>4447</v>
      </c>
    </row>
    <row r="1131" spans="1:13" x14ac:dyDescent="0.3">
      <c r="A1131" t="s">
        <v>289</v>
      </c>
      <c r="B1131" t="s">
        <v>4444</v>
      </c>
      <c r="C1131">
        <v>7438426</v>
      </c>
      <c r="D1131">
        <v>100949916</v>
      </c>
      <c r="E1131" t="s">
        <v>290</v>
      </c>
      <c r="G1131" t="s">
        <v>2198</v>
      </c>
      <c r="H1131" t="s">
        <v>1370</v>
      </c>
      <c r="I1131" t="s">
        <v>4240</v>
      </c>
    </row>
    <row r="1132" spans="1:13" x14ac:dyDescent="0.3">
      <c r="A1132" t="s">
        <v>4454</v>
      </c>
      <c r="B1132" t="s">
        <v>4444</v>
      </c>
      <c r="C1132">
        <v>7438426</v>
      </c>
      <c r="D1132">
        <v>101092867</v>
      </c>
      <c r="E1132" t="s">
        <v>4455</v>
      </c>
      <c r="G1132" t="s">
        <v>2198</v>
      </c>
      <c r="H1132" t="s">
        <v>2515</v>
      </c>
      <c r="I1132" t="s">
        <v>1190</v>
      </c>
      <c r="K1132" t="s">
        <v>4456</v>
      </c>
    </row>
    <row r="1133" spans="1:13" x14ac:dyDescent="0.3">
      <c r="A1133" t="s">
        <v>291</v>
      </c>
      <c r="B1133" t="s">
        <v>4444</v>
      </c>
      <c r="C1133">
        <v>7438426</v>
      </c>
      <c r="D1133">
        <v>101035092</v>
      </c>
      <c r="E1133" t="s">
        <v>292</v>
      </c>
      <c r="G1133" t="s">
        <v>2198</v>
      </c>
      <c r="H1133" t="s">
        <v>4457</v>
      </c>
      <c r="I1133" t="s">
        <v>4458</v>
      </c>
    </row>
    <row r="1134" spans="1:13" x14ac:dyDescent="0.3">
      <c r="A1134" t="s">
        <v>293</v>
      </c>
      <c r="B1134" t="s">
        <v>4444</v>
      </c>
      <c r="C1134">
        <v>7438426</v>
      </c>
      <c r="D1134">
        <v>101034863</v>
      </c>
      <c r="E1134" t="s">
        <v>294</v>
      </c>
      <c r="G1134" t="s">
        <v>2198</v>
      </c>
      <c r="H1134" t="s">
        <v>4256</v>
      </c>
      <c r="I1134" t="s">
        <v>4459</v>
      </c>
      <c r="K1134" t="s">
        <v>4460</v>
      </c>
    </row>
    <row r="1135" spans="1:13" x14ac:dyDescent="0.3">
      <c r="A1135" t="s">
        <v>295</v>
      </c>
      <c r="B1135" t="s">
        <v>4444</v>
      </c>
      <c r="C1135">
        <v>7438426</v>
      </c>
      <c r="D1135">
        <v>101034865</v>
      </c>
      <c r="E1135" t="s">
        <v>296</v>
      </c>
      <c r="G1135" t="s">
        <v>2198</v>
      </c>
      <c r="H1135" t="s">
        <v>1150</v>
      </c>
      <c r="I1135" t="s">
        <v>2225</v>
      </c>
    </row>
    <row r="1136" spans="1:13" x14ac:dyDescent="0.3">
      <c r="A1136" t="s">
        <v>4461</v>
      </c>
      <c r="B1136" t="s">
        <v>4444</v>
      </c>
      <c r="C1136">
        <v>7438426</v>
      </c>
      <c r="D1136">
        <v>120081991</v>
      </c>
      <c r="G1136" t="s">
        <v>2198</v>
      </c>
      <c r="H1136" t="s">
        <v>1228</v>
      </c>
      <c r="I1136" t="s">
        <v>4462</v>
      </c>
      <c r="J1136" t="s">
        <v>2200</v>
      </c>
      <c r="L1136" t="s">
        <v>4463</v>
      </c>
    </row>
    <row r="1137" spans="1:13" x14ac:dyDescent="0.3">
      <c r="A1137" t="s">
        <v>297</v>
      </c>
      <c r="B1137" t="s">
        <v>4444</v>
      </c>
      <c r="C1137">
        <v>7438426</v>
      </c>
      <c r="D1137">
        <v>101035094</v>
      </c>
      <c r="E1137" t="s">
        <v>298</v>
      </c>
      <c r="G1137" t="s">
        <v>2198</v>
      </c>
      <c r="H1137" t="s">
        <v>4464</v>
      </c>
      <c r="I1137" t="s">
        <v>4465</v>
      </c>
    </row>
    <row r="1138" spans="1:13" x14ac:dyDescent="0.3">
      <c r="A1138" t="s">
        <v>4466</v>
      </c>
      <c r="B1138" t="s">
        <v>4444</v>
      </c>
      <c r="C1138">
        <v>7438426</v>
      </c>
      <c r="D1138">
        <v>120050333</v>
      </c>
      <c r="E1138" t="s">
        <v>4467</v>
      </c>
      <c r="F1138" t="s">
        <v>4468</v>
      </c>
      <c r="G1138" t="s">
        <v>2198</v>
      </c>
      <c r="H1138" t="s">
        <v>4469</v>
      </c>
      <c r="I1138" t="s">
        <v>4470</v>
      </c>
      <c r="J1138" t="s">
        <v>2200</v>
      </c>
      <c r="L1138" t="s">
        <v>4471</v>
      </c>
    </row>
    <row r="1139" spans="1:13" x14ac:dyDescent="0.3">
      <c r="A1139" t="s">
        <v>4472</v>
      </c>
      <c r="B1139" t="s">
        <v>4444</v>
      </c>
      <c r="C1139">
        <v>7438426</v>
      </c>
      <c r="D1139">
        <v>120081966</v>
      </c>
      <c r="G1139" t="s">
        <v>2198</v>
      </c>
      <c r="H1139" t="s">
        <v>4473</v>
      </c>
      <c r="I1139" t="s">
        <v>4474</v>
      </c>
      <c r="J1139" t="s">
        <v>2200</v>
      </c>
      <c r="L1139" t="s">
        <v>4463</v>
      </c>
    </row>
    <row r="1140" spans="1:13" x14ac:dyDescent="0.3">
      <c r="A1140" t="s">
        <v>299</v>
      </c>
      <c r="B1140" t="s">
        <v>4444</v>
      </c>
      <c r="C1140">
        <v>7438426</v>
      </c>
      <c r="D1140">
        <v>101034932</v>
      </c>
      <c r="E1140" t="s">
        <v>300</v>
      </c>
      <c r="G1140" t="s">
        <v>2198</v>
      </c>
      <c r="H1140" t="s">
        <v>3321</v>
      </c>
      <c r="I1140" t="s">
        <v>4475</v>
      </c>
    </row>
    <row r="1141" spans="1:13" x14ac:dyDescent="0.3">
      <c r="A1141" t="s">
        <v>301</v>
      </c>
      <c r="B1141" t="s">
        <v>4444</v>
      </c>
      <c r="C1141">
        <v>7438426</v>
      </c>
      <c r="D1141">
        <v>101015580</v>
      </c>
      <c r="G1141" t="s">
        <v>2198</v>
      </c>
      <c r="H1141" t="s">
        <v>1226</v>
      </c>
      <c r="I1141" t="s">
        <v>2328</v>
      </c>
      <c r="K1141" t="s">
        <v>2328</v>
      </c>
    </row>
    <row r="1142" spans="1:13" x14ac:dyDescent="0.3">
      <c r="A1142" t="s">
        <v>4476</v>
      </c>
      <c r="B1142" t="s">
        <v>4444</v>
      </c>
      <c r="C1142">
        <v>7438426</v>
      </c>
      <c r="D1142">
        <v>101086797</v>
      </c>
      <c r="E1142" t="s">
        <v>4477</v>
      </c>
      <c r="G1142" t="s">
        <v>2198</v>
      </c>
      <c r="H1142" t="s">
        <v>1141</v>
      </c>
      <c r="I1142" t="s">
        <v>4478</v>
      </c>
      <c r="J1142" t="s">
        <v>2200</v>
      </c>
      <c r="K1142" t="s">
        <v>4479</v>
      </c>
    </row>
    <row r="1143" spans="1:13" x14ac:dyDescent="0.3">
      <c r="A1143" t="s">
        <v>302</v>
      </c>
      <c r="B1143" t="s">
        <v>4444</v>
      </c>
      <c r="C1143">
        <v>7438426</v>
      </c>
      <c r="D1143">
        <v>101034922</v>
      </c>
      <c r="E1143" t="s">
        <v>303</v>
      </c>
      <c r="G1143" t="s">
        <v>2198</v>
      </c>
      <c r="H1143" t="s">
        <v>2263</v>
      </c>
      <c r="I1143" t="s">
        <v>2912</v>
      </c>
    </row>
    <row r="1144" spans="1:13" x14ac:dyDescent="0.3">
      <c r="A1144" t="s">
        <v>4480</v>
      </c>
      <c r="B1144" t="s">
        <v>4444</v>
      </c>
      <c r="C1144">
        <v>7438426</v>
      </c>
      <c r="D1144">
        <v>120051353</v>
      </c>
      <c r="E1144" t="s">
        <v>4481</v>
      </c>
      <c r="F1144" t="s">
        <v>4447</v>
      </c>
      <c r="G1144" t="s">
        <v>2198</v>
      </c>
      <c r="H1144" t="s">
        <v>4482</v>
      </c>
      <c r="I1144" t="s">
        <v>4483</v>
      </c>
      <c r="J1144" t="s">
        <v>2898</v>
      </c>
      <c r="L1144" t="s">
        <v>4484</v>
      </c>
    </row>
    <row r="1145" spans="1:13" x14ac:dyDescent="0.3">
      <c r="A1145" t="s">
        <v>4485</v>
      </c>
      <c r="B1145" t="s">
        <v>4444</v>
      </c>
      <c r="C1145">
        <v>7438426</v>
      </c>
      <c r="D1145">
        <v>101092877</v>
      </c>
      <c r="E1145" t="s">
        <v>4486</v>
      </c>
      <c r="G1145" t="s">
        <v>2198</v>
      </c>
      <c r="H1145" t="s">
        <v>4487</v>
      </c>
      <c r="I1145" t="s">
        <v>4488</v>
      </c>
      <c r="K1145" t="s">
        <v>4456</v>
      </c>
    </row>
    <row r="1146" spans="1:13" x14ac:dyDescent="0.3">
      <c r="A1146" t="s">
        <v>4489</v>
      </c>
      <c r="B1146" t="s">
        <v>4444</v>
      </c>
      <c r="C1146">
        <v>7438426</v>
      </c>
      <c r="D1146">
        <v>101140229</v>
      </c>
      <c r="E1146" t="s">
        <v>4490</v>
      </c>
      <c r="G1146" t="s">
        <v>2198</v>
      </c>
      <c r="H1146" t="s">
        <v>1270</v>
      </c>
      <c r="I1146" t="s">
        <v>4491</v>
      </c>
      <c r="J1146" t="s">
        <v>2200</v>
      </c>
    </row>
    <row r="1147" spans="1:13" x14ac:dyDescent="0.3">
      <c r="A1147" t="s">
        <v>4492</v>
      </c>
      <c r="B1147" t="s">
        <v>4444</v>
      </c>
      <c r="C1147">
        <v>7438426</v>
      </c>
      <c r="D1147">
        <v>120081989</v>
      </c>
      <c r="G1147" t="s">
        <v>2198</v>
      </c>
      <c r="H1147" t="s">
        <v>4493</v>
      </c>
      <c r="I1147" t="s">
        <v>4494</v>
      </c>
      <c r="J1147" t="s">
        <v>2898</v>
      </c>
      <c r="L1147" t="s">
        <v>4495</v>
      </c>
    </row>
    <row r="1148" spans="1:13" x14ac:dyDescent="0.3">
      <c r="A1148" t="s">
        <v>4496</v>
      </c>
      <c r="B1148" t="s">
        <v>4444</v>
      </c>
      <c r="C1148">
        <v>7438426</v>
      </c>
      <c r="D1148">
        <v>120081968</v>
      </c>
      <c r="G1148" t="s">
        <v>2198</v>
      </c>
      <c r="H1148" t="s">
        <v>4497</v>
      </c>
      <c r="I1148" t="s">
        <v>4498</v>
      </c>
      <c r="J1148" t="s">
        <v>2898</v>
      </c>
      <c r="L1148" t="s">
        <v>4499</v>
      </c>
    </row>
    <row r="1149" spans="1:13" x14ac:dyDescent="0.3">
      <c r="A1149" t="s">
        <v>304</v>
      </c>
      <c r="B1149" t="s">
        <v>4444</v>
      </c>
      <c r="C1149">
        <v>7438426</v>
      </c>
      <c r="D1149">
        <v>100949917</v>
      </c>
      <c r="E1149" t="s">
        <v>305</v>
      </c>
      <c r="G1149" t="s">
        <v>2198</v>
      </c>
      <c r="H1149" t="s">
        <v>1115</v>
      </c>
      <c r="I1149" t="s">
        <v>2407</v>
      </c>
      <c r="J1149" t="s">
        <v>2200</v>
      </c>
      <c r="K1149" t="s">
        <v>4500</v>
      </c>
      <c r="M1149" t="s">
        <v>4447</v>
      </c>
    </row>
    <row r="1150" spans="1:13" x14ac:dyDescent="0.3">
      <c r="A1150" t="s">
        <v>4501</v>
      </c>
      <c r="B1150" t="s">
        <v>4444</v>
      </c>
      <c r="C1150">
        <v>7438426</v>
      </c>
      <c r="D1150">
        <v>120053080</v>
      </c>
      <c r="E1150" t="s">
        <v>4502</v>
      </c>
      <c r="F1150" t="s">
        <v>4503</v>
      </c>
      <c r="G1150" t="s">
        <v>2198</v>
      </c>
      <c r="H1150" t="s">
        <v>4504</v>
      </c>
      <c r="I1150" t="s">
        <v>4505</v>
      </c>
      <c r="J1150" t="s">
        <v>2200</v>
      </c>
    </row>
    <row r="1151" spans="1:13" x14ac:dyDescent="0.3">
      <c r="A1151" t="s">
        <v>308</v>
      </c>
      <c r="B1151" t="s">
        <v>4444</v>
      </c>
      <c r="C1151">
        <v>7438426</v>
      </c>
      <c r="D1151">
        <v>101034864</v>
      </c>
      <c r="E1151" t="s">
        <v>309</v>
      </c>
      <c r="G1151" t="s">
        <v>2198</v>
      </c>
      <c r="H1151" t="s">
        <v>1138</v>
      </c>
      <c r="I1151" t="s">
        <v>4506</v>
      </c>
      <c r="K1151" t="s">
        <v>4507</v>
      </c>
    </row>
    <row r="1152" spans="1:13" x14ac:dyDescent="0.3">
      <c r="A1152" t="s">
        <v>310</v>
      </c>
      <c r="B1152" t="s">
        <v>4444</v>
      </c>
      <c r="C1152">
        <v>7438426</v>
      </c>
      <c r="D1152">
        <v>101015509</v>
      </c>
      <c r="G1152" t="s">
        <v>2198</v>
      </c>
      <c r="H1152" t="s">
        <v>4508</v>
      </c>
      <c r="I1152" t="s">
        <v>4509</v>
      </c>
      <c r="K1152" t="s">
        <v>4509</v>
      </c>
    </row>
    <row r="1153" spans="1:13" x14ac:dyDescent="0.3">
      <c r="A1153" t="s">
        <v>4510</v>
      </c>
      <c r="B1153" t="s">
        <v>4444</v>
      </c>
      <c r="C1153">
        <v>7438426</v>
      </c>
      <c r="D1153">
        <v>120050359</v>
      </c>
      <c r="E1153" t="s">
        <v>4511</v>
      </c>
      <c r="F1153" t="s">
        <v>4512</v>
      </c>
      <c r="G1153" t="s">
        <v>2198</v>
      </c>
      <c r="H1153" t="s">
        <v>2306</v>
      </c>
      <c r="I1153" t="s">
        <v>4513</v>
      </c>
      <c r="J1153" t="s">
        <v>2200</v>
      </c>
    </row>
    <row r="1154" spans="1:13" x14ac:dyDescent="0.3">
      <c r="A1154" t="s">
        <v>311</v>
      </c>
      <c r="B1154" t="s">
        <v>4444</v>
      </c>
      <c r="C1154">
        <v>7438426</v>
      </c>
      <c r="D1154">
        <v>101035099</v>
      </c>
      <c r="E1154" t="s">
        <v>312</v>
      </c>
      <c r="G1154" t="s">
        <v>2198</v>
      </c>
      <c r="H1154" t="s">
        <v>73</v>
      </c>
      <c r="I1154" t="s">
        <v>4514</v>
      </c>
    </row>
    <row r="1155" spans="1:13" x14ac:dyDescent="0.3">
      <c r="A1155" t="s">
        <v>313</v>
      </c>
      <c r="B1155" t="s">
        <v>4444</v>
      </c>
      <c r="C1155">
        <v>7438426</v>
      </c>
      <c r="D1155">
        <v>101035097</v>
      </c>
      <c r="G1155" t="s">
        <v>2198</v>
      </c>
      <c r="H1155" t="s">
        <v>4515</v>
      </c>
      <c r="I1155" t="s">
        <v>4516</v>
      </c>
      <c r="M1155" t="s">
        <v>4517</v>
      </c>
    </row>
    <row r="1156" spans="1:13" x14ac:dyDescent="0.3">
      <c r="A1156" t="s">
        <v>4518</v>
      </c>
      <c r="B1156" t="s">
        <v>4444</v>
      </c>
      <c r="C1156">
        <v>7438426</v>
      </c>
      <c r="D1156">
        <v>120051335</v>
      </c>
      <c r="E1156" t="s">
        <v>4519</v>
      </c>
      <c r="G1156" t="s">
        <v>2198</v>
      </c>
      <c r="H1156" t="s">
        <v>1146</v>
      </c>
      <c r="I1156" t="s">
        <v>4520</v>
      </c>
      <c r="J1156" t="s">
        <v>2200</v>
      </c>
    </row>
    <row r="1157" spans="1:13" x14ac:dyDescent="0.3">
      <c r="A1157" t="s">
        <v>314</v>
      </c>
      <c r="B1157" t="s">
        <v>4444</v>
      </c>
      <c r="C1157">
        <v>7438426</v>
      </c>
      <c r="D1157">
        <v>101034899</v>
      </c>
      <c r="E1157" t="s">
        <v>315</v>
      </c>
      <c r="G1157" t="s">
        <v>2386</v>
      </c>
      <c r="H1157" t="s">
        <v>4521</v>
      </c>
      <c r="I1157" t="s">
        <v>4522</v>
      </c>
      <c r="M1157" t="s">
        <v>4447</v>
      </c>
    </row>
    <row r="1158" spans="1:13" x14ac:dyDescent="0.3">
      <c r="A1158" t="s">
        <v>316</v>
      </c>
      <c r="B1158" t="s">
        <v>4444</v>
      </c>
      <c r="C1158">
        <v>7438426</v>
      </c>
      <c r="D1158">
        <v>100949913</v>
      </c>
      <c r="E1158" t="s">
        <v>317</v>
      </c>
      <c r="G1158" t="s">
        <v>2198</v>
      </c>
      <c r="H1158" t="s">
        <v>2212</v>
      </c>
      <c r="I1158" t="s">
        <v>4523</v>
      </c>
      <c r="J1158" t="s">
        <v>2200</v>
      </c>
    </row>
    <row r="1159" spans="1:13" x14ac:dyDescent="0.3">
      <c r="A1159" t="s">
        <v>318</v>
      </c>
      <c r="B1159" t="s">
        <v>4444</v>
      </c>
      <c r="C1159">
        <v>7438426</v>
      </c>
      <c r="D1159">
        <v>101056234</v>
      </c>
      <c r="E1159" t="s">
        <v>319</v>
      </c>
      <c r="G1159" t="s">
        <v>2198</v>
      </c>
      <c r="H1159" t="s">
        <v>2541</v>
      </c>
      <c r="I1159" t="s">
        <v>1269</v>
      </c>
      <c r="J1159" t="s">
        <v>2200</v>
      </c>
      <c r="K1159" t="s">
        <v>4524</v>
      </c>
    </row>
    <row r="1160" spans="1:13" x14ac:dyDescent="0.3">
      <c r="A1160" t="s">
        <v>320</v>
      </c>
      <c r="B1160" t="s">
        <v>4444</v>
      </c>
      <c r="C1160">
        <v>7438426</v>
      </c>
      <c r="D1160">
        <v>100949912</v>
      </c>
      <c r="E1160" t="s">
        <v>321</v>
      </c>
      <c r="G1160" t="s">
        <v>2198</v>
      </c>
      <c r="H1160" t="s">
        <v>4211</v>
      </c>
      <c r="I1160" t="s">
        <v>4525</v>
      </c>
      <c r="J1160" t="s">
        <v>2200</v>
      </c>
    </row>
    <row r="1161" spans="1:13" x14ac:dyDescent="0.3">
      <c r="A1161" t="s">
        <v>4526</v>
      </c>
      <c r="B1161" t="s">
        <v>4444</v>
      </c>
      <c r="C1161">
        <v>7438426</v>
      </c>
      <c r="D1161">
        <v>120051352</v>
      </c>
      <c r="E1161" t="s">
        <v>4527</v>
      </c>
      <c r="G1161" t="s">
        <v>2198</v>
      </c>
      <c r="H1161" t="s">
        <v>2380</v>
      </c>
      <c r="I1161" t="s">
        <v>4528</v>
      </c>
      <c r="J1161" t="s">
        <v>2200</v>
      </c>
    </row>
    <row r="1162" spans="1:13" x14ac:dyDescent="0.3">
      <c r="A1162" t="s">
        <v>4529</v>
      </c>
      <c r="B1162" t="s">
        <v>4444</v>
      </c>
      <c r="C1162">
        <v>7438426</v>
      </c>
      <c r="D1162">
        <v>120081969</v>
      </c>
      <c r="E1162" t="s">
        <v>4530</v>
      </c>
      <c r="G1162" t="s">
        <v>2198</v>
      </c>
      <c r="H1162" t="s">
        <v>1173</v>
      </c>
      <c r="I1162" t="s">
        <v>4528</v>
      </c>
      <c r="J1162" t="s">
        <v>2200</v>
      </c>
      <c r="L1162" t="s">
        <v>4463</v>
      </c>
    </row>
    <row r="1163" spans="1:13" x14ac:dyDescent="0.3">
      <c r="A1163" t="s">
        <v>457</v>
      </c>
      <c r="B1163" t="s">
        <v>4444</v>
      </c>
      <c r="C1163">
        <v>7438426</v>
      </c>
      <c r="D1163">
        <v>101072681</v>
      </c>
      <c r="E1163" t="s">
        <v>458</v>
      </c>
      <c r="G1163" t="s">
        <v>2198</v>
      </c>
      <c r="H1163" t="s">
        <v>4531</v>
      </c>
      <c r="I1163" t="s">
        <v>4532</v>
      </c>
      <c r="J1163" t="s">
        <v>2200</v>
      </c>
      <c r="K1163" t="s">
        <v>4533</v>
      </c>
    </row>
    <row r="1164" spans="1:13" x14ac:dyDescent="0.3">
      <c r="A1164" t="s">
        <v>322</v>
      </c>
      <c r="B1164" t="s">
        <v>4444</v>
      </c>
      <c r="C1164">
        <v>7438426</v>
      </c>
      <c r="D1164">
        <v>100949914</v>
      </c>
      <c r="E1164" t="s">
        <v>323</v>
      </c>
      <c r="G1164" t="s">
        <v>2198</v>
      </c>
      <c r="H1164" t="s">
        <v>2363</v>
      </c>
      <c r="I1164" t="s">
        <v>4534</v>
      </c>
    </row>
    <row r="1165" spans="1:13" x14ac:dyDescent="0.3">
      <c r="A1165" t="s">
        <v>324</v>
      </c>
      <c r="B1165" t="s">
        <v>4444</v>
      </c>
      <c r="C1165">
        <v>7438426</v>
      </c>
      <c r="D1165">
        <v>101035093</v>
      </c>
      <c r="E1165" t="s">
        <v>325</v>
      </c>
      <c r="G1165" t="s">
        <v>2198</v>
      </c>
      <c r="H1165" t="s">
        <v>2520</v>
      </c>
      <c r="I1165" t="s">
        <v>1113</v>
      </c>
    </row>
    <row r="1166" spans="1:13" x14ac:dyDescent="0.3">
      <c r="A1166" t="s">
        <v>4535</v>
      </c>
      <c r="B1166" t="s">
        <v>4444</v>
      </c>
      <c r="C1166">
        <v>7438426</v>
      </c>
      <c r="D1166">
        <v>120053081</v>
      </c>
      <c r="E1166" t="s">
        <v>4536</v>
      </c>
      <c r="G1166" t="s">
        <v>2198</v>
      </c>
      <c r="H1166" t="s">
        <v>2269</v>
      </c>
      <c r="I1166" t="s">
        <v>4537</v>
      </c>
      <c r="J1166" t="s">
        <v>2200</v>
      </c>
    </row>
    <row r="1167" spans="1:13" x14ac:dyDescent="0.3">
      <c r="A1167" t="s">
        <v>326</v>
      </c>
      <c r="B1167" t="s">
        <v>4444</v>
      </c>
      <c r="C1167">
        <v>7438426</v>
      </c>
      <c r="D1167">
        <v>101034907</v>
      </c>
      <c r="E1167" t="s">
        <v>327</v>
      </c>
      <c r="G1167" t="s">
        <v>2198</v>
      </c>
      <c r="H1167" t="s">
        <v>4538</v>
      </c>
      <c r="I1167" t="s">
        <v>4539</v>
      </c>
    </row>
    <row r="1168" spans="1:13" x14ac:dyDescent="0.3">
      <c r="A1168" t="s">
        <v>328</v>
      </c>
      <c r="B1168" t="s">
        <v>4444</v>
      </c>
      <c r="C1168">
        <v>7438426</v>
      </c>
      <c r="D1168">
        <v>101035095</v>
      </c>
      <c r="E1168" t="s">
        <v>329</v>
      </c>
      <c r="G1168" t="s">
        <v>2198</v>
      </c>
      <c r="H1168" t="s">
        <v>1146</v>
      </c>
      <c r="I1168" t="s">
        <v>4540</v>
      </c>
    </row>
    <row r="1169" spans="1:13" x14ac:dyDescent="0.3">
      <c r="A1169" t="s">
        <v>330</v>
      </c>
      <c r="B1169" t="s">
        <v>4444</v>
      </c>
      <c r="C1169">
        <v>7438426</v>
      </c>
      <c r="D1169">
        <v>101035098</v>
      </c>
      <c r="E1169" t="s">
        <v>331</v>
      </c>
      <c r="G1169" t="s">
        <v>2198</v>
      </c>
      <c r="H1169" t="s">
        <v>2848</v>
      </c>
      <c r="I1169" t="s">
        <v>3202</v>
      </c>
    </row>
    <row r="1170" spans="1:13" x14ac:dyDescent="0.3">
      <c r="A1170" t="s">
        <v>332</v>
      </c>
      <c r="B1170" t="s">
        <v>4444</v>
      </c>
      <c r="C1170">
        <v>7438426</v>
      </c>
      <c r="D1170">
        <v>101056222</v>
      </c>
      <c r="E1170" t="s">
        <v>333</v>
      </c>
      <c r="G1170" t="s">
        <v>2198</v>
      </c>
      <c r="H1170" t="s">
        <v>4541</v>
      </c>
      <c r="I1170" t="s">
        <v>4542</v>
      </c>
      <c r="J1170" t="s">
        <v>2200</v>
      </c>
      <c r="K1170" t="s">
        <v>4543</v>
      </c>
    </row>
    <row r="1171" spans="1:13" x14ac:dyDescent="0.3">
      <c r="A1171" t="s">
        <v>334</v>
      </c>
      <c r="B1171" t="s">
        <v>4444</v>
      </c>
      <c r="C1171">
        <v>7438426</v>
      </c>
      <c r="D1171">
        <v>100949915</v>
      </c>
      <c r="E1171" t="s">
        <v>335</v>
      </c>
      <c r="G1171" t="s">
        <v>2198</v>
      </c>
      <c r="H1171" t="s">
        <v>4544</v>
      </c>
      <c r="I1171" t="s">
        <v>2519</v>
      </c>
      <c r="J1171" t="s">
        <v>2898</v>
      </c>
    </row>
    <row r="1172" spans="1:13" x14ac:dyDescent="0.3">
      <c r="A1172" t="s">
        <v>336</v>
      </c>
      <c r="B1172" t="s">
        <v>4444</v>
      </c>
      <c r="C1172">
        <v>7438426</v>
      </c>
      <c r="D1172">
        <v>100949910</v>
      </c>
      <c r="E1172" t="s">
        <v>337</v>
      </c>
      <c r="G1172" t="s">
        <v>2198</v>
      </c>
      <c r="H1172" t="s">
        <v>2380</v>
      </c>
      <c r="I1172" t="s">
        <v>2435</v>
      </c>
      <c r="M1172" t="s">
        <v>4447</v>
      </c>
    </row>
    <row r="1173" spans="1:13" x14ac:dyDescent="0.3">
      <c r="A1173" t="s">
        <v>4545</v>
      </c>
      <c r="B1173" t="s">
        <v>4444</v>
      </c>
      <c r="C1173">
        <v>7438426</v>
      </c>
      <c r="D1173">
        <v>120081990</v>
      </c>
      <c r="G1173" t="s">
        <v>2198</v>
      </c>
      <c r="H1173" t="s">
        <v>2409</v>
      </c>
      <c r="I1173" t="s">
        <v>2424</v>
      </c>
      <c r="J1173" t="s">
        <v>2200</v>
      </c>
      <c r="L1173" t="s">
        <v>4463</v>
      </c>
    </row>
    <row r="1174" spans="1:13" x14ac:dyDescent="0.3">
      <c r="A1174" t="s">
        <v>338</v>
      </c>
      <c r="B1174" t="s">
        <v>4444</v>
      </c>
      <c r="C1174">
        <v>7438426</v>
      </c>
      <c r="D1174">
        <v>101035096</v>
      </c>
      <c r="E1174" t="s">
        <v>339</v>
      </c>
      <c r="G1174" t="s">
        <v>2198</v>
      </c>
      <c r="H1174" t="s">
        <v>4546</v>
      </c>
      <c r="I1174" t="s">
        <v>4547</v>
      </c>
    </row>
    <row r="1175" spans="1:13" x14ac:dyDescent="0.3">
      <c r="A1175" t="s">
        <v>340</v>
      </c>
      <c r="B1175" t="s">
        <v>4444</v>
      </c>
      <c r="C1175">
        <v>7438426</v>
      </c>
      <c r="D1175">
        <v>101056223</v>
      </c>
      <c r="E1175" t="s">
        <v>341</v>
      </c>
      <c r="G1175" t="s">
        <v>2198</v>
      </c>
      <c r="H1175" t="s">
        <v>4541</v>
      </c>
      <c r="I1175" t="s">
        <v>4548</v>
      </c>
      <c r="J1175" t="s">
        <v>2200</v>
      </c>
      <c r="K1175" t="s">
        <v>4543</v>
      </c>
    </row>
    <row r="1176" spans="1:13" x14ac:dyDescent="0.3">
      <c r="A1176" t="s">
        <v>4549</v>
      </c>
      <c r="B1176" t="s">
        <v>4444</v>
      </c>
      <c r="C1176">
        <v>7438426</v>
      </c>
      <c r="D1176">
        <v>101077997</v>
      </c>
      <c r="E1176" t="s">
        <v>4550</v>
      </c>
      <c r="G1176" t="s">
        <v>2198</v>
      </c>
      <c r="H1176" t="s">
        <v>2382</v>
      </c>
      <c r="I1176" t="s">
        <v>4551</v>
      </c>
      <c r="J1176" t="s">
        <v>2343</v>
      </c>
      <c r="K1176" t="s">
        <v>4090</v>
      </c>
    </row>
    <row r="1177" spans="1:13" x14ac:dyDescent="0.3">
      <c r="A1177" t="s">
        <v>4552</v>
      </c>
      <c r="B1177" t="s">
        <v>4444</v>
      </c>
      <c r="C1177">
        <v>7438426</v>
      </c>
      <c r="D1177">
        <v>120051162</v>
      </c>
      <c r="E1177" t="s">
        <v>4553</v>
      </c>
      <c r="G1177" t="s">
        <v>2198</v>
      </c>
      <c r="H1177" t="s">
        <v>1202</v>
      </c>
      <c r="I1177" t="s">
        <v>4554</v>
      </c>
      <c r="J1177" t="s">
        <v>2200</v>
      </c>
    </row>
    <row r="1178" spans="1:13" x14ac:dyDescent="0.3">
      <c r="A1178" t="s">
        <v>342</v>
      </c>
      <c r="B1178" t="s">
        <v>4444</v>
      </c>
      <c r="C1178">
        <v>7438426</v>
      </c>
      <c r="D1178">
        <v>120053069</v>
      </c>
      <c r="E1178" t="s">
        <v>343</v>
      </c>
      <c r="G1178" t="s">
        <v>2198</v>
      </c>
      <c r="H1178" t="s">
        <v>1169</v>
      </c>
      <c r="I1178" t="s">
        <v>4555</v>
      </c>
      <c r="J1178" t="s">
        <v>2200</v>
      </c>
      <c r="L1178" t="s">
        <v>4533</v>
      </c>
    </row>
    <row r="1179" spans="1:13" x14ac:dyDescent="0.3">
      <c r="A1179" t="s">
        <v>4556</v>
      </c>
      <c r="B1179" t="s">
        <v>4426</v>
      </c>
      <c r="C1179">
        <v>535258</v>
      </c>
      <c r="D1179">
        <v>120171579</v>
      </c>
      <c r="G1179" t="s">
        <v>2198</v>
      </c>
      <c r="H1179" t="s">
        <v>1129</v>
      </c>
      <c r="I1179" t="s">
        <v>4557</v>
      </c>
      <c r="M1179" t="s">
        <v>4558</v>
      </c>
    </row>
    <row r="1180" spans="1:13" x14ac:dyDescent="0.3">
      <c r="A1180" t="s">
        <v>4559</v>
      </c>
      <c r="B1180" t="s">
        <v>4426</v>
      </c>
      <c r="C1180">
        <v>535258</v>
      </c>
      <c r="D1180">
        <v>100749681</v>
      </c>
      <c r="E1180" t="s">
        <v>4560</v>
      </c>
      <c r="G1180" t="s">
        <v>2198</v>
      </c>
      <c r="H1180" t="s">
        <v>4561</v>
      </c>
      <c r="I1180" t="s">
        <v>3102</v>
      </c>
      <c r="J1180" t="s">
        <v>4151</v>
      </c>
      <c r="K1180" t="s">
        <v>4562</v>
      </c>
    </row>
    <row r="1181" spans="1:13" x14ac:dyDescent="0.3">
      <c r="A1181" t="s">
        <v>4563</v>
      </c>
      <c r="B1181" t="s">
        <v>4426</v>
      </c>
      <c r="C1181">
        <v>535258</v>
      </c>
      <c r="D1181">
        <v>100749683</v>
      </c>
      <c r="G1181" t="s">
        <v>2198</v>
      </c>
      <c r="H1181" t="s">
        <v>4211</v>
      </c>
      <c r="I1181" t="s">
        <v>4564</v>
      </c>
      <c r="J1181" t="s">
        <v>4151</v>
      </c>
      <c r="M1181" t="s">
        <v>4565</v>
      </c>
    </row>
    <row r="1182" spans="1:13" x14ac:dyDescent="0.3">
      <c r="A1182" t="s">
        <v>4566</v>
      </c>
      <c r="B1182" t="s">
        <v>4426</v>
      </c>
      <c r="C1182">
        <v>535258</v>
      </c>
      <c r="D1182">
        <v>100749682</v>
      </c>
      <c r="E1182" t="s">
        <v>4567</v>
      </c>
      <c r="G1182" t="s">
        <v>2198</v>
      </c>
      <c r="H1182" t="s">
        <v>1133</v>
      </c>
      <c r="I1182" t="s">
        <v>4568</v>
      </c>
      <c r="J1182" t="s">
        <v>4151</v>
      </c>
      <c r="K1182" t="s">
        <v>4562</v>
      </c>
    </row>
    <row r="1183" spans="1:13" x14ac:dyDescent="0.3">
      <c r="A1183" t="s">
        <v>4569</v>
      </c>
      <c r="B1183" t="s">
        <v>4426</v>
      </c>
      <c r="C1183">
        <v>535258</v>
      </c>
      <c r="D1183">
        <v>120198485</v>
      </c>
      <c r="E1183" t="s">
        <v>4570</v>
      </c>
      <c r="F1183" t="s">
        <v>4571</v>
      </c>
      <c r="G1183" t="s">
        <v>2198</v>
      </c>
      <c r="H1183" t="s">
        <v>2469</v>
      </c>
      <c r="I1183" t="s">
        <v>4572</v>
      </c>
    </row>
    <row r="1184" spans="1:13" x14ac:dyDescent="0.3">
      <c r="A1184" t="s">
        <v>4593</v>
      </c>
      <c r="B1184" t="s">
        <v>4594</v>
      </c>
      <c r="C1184">
        <v>7464171</v>
      </c>
      <c r="D1184">
        <v>120111877</v>
      </c>
      <c r="E1184" t="s">
        <v>4595</v>
      </c>
      <c r="G1184" t="s">
        <v>2198</v>
      </c>
      <c r="H1184" t="s">
        <v>4596</v>
      </c>
      <c r="I1184" t="s">
        <v>3296</v>
      </c>
      <c r="M1184" t="s">
        <v>4597</v>
      </c>
    </row>
    <row r="1185" spans="1:13" x14ac:dyDescent="0.3">
      <c r="A1185" t="s">
        <v>21</v>
      </c>
      <c r="B1185" t="s">
        <v>4594</v>
      </c>
      <c r="C1185">
        <v>7464171</v>
      </c>
      <c r="D1185">
        <v>100995197</v>
      </c>
      <c r="E1185" t="s">
        <v>4598</v>
      </c>
      <c r="G1185" t="s">
        <v>2198</v>
      </c>
      <c r="H1185" t="s">
        <v>2523</v>
      </c>
      <c r="I1185" t="s">
        <v>1176</v>
      </c>
      <c r="J1185" t="s">
        <v>2200</v>
      </c>
      <c r="M1185" t="s">
        <v>4599</v>
      </c>
    </row>
    <row r="1186" spans="1:13" x14ac:dyDescent="0.3">
      <c r="A1186" t="s">
        <v>125</v>
      </c>
      <c r="B1186" t="s">
        <v>4600</v>
      </c>
      <c r="C1186">
        <v>120211955</v>
      </c>
      <c r="D1186">
        <v>120211956</v>
      </c>
      <c r="E1186" t="s">
        <v>4601</v>
      </c>
      <c r="G1186" t="s">
        <v>2198</v>
      </c>
      <c r="H1186" t="s">
        <v>1133</v>
      </c>
      <c r="I1186" t="s">
        <v>4602</v>
      </c>
      <c r="J1186" t="s">
        <v>2898</v>
      </c>
      <c r="L1186" t="s">
        <v>4603</v>
      </c>
    </row>
    <row r="1187" spans="1:13" x14ac:dyDescent="0.3">
      <c r="A1187" t="s">
        <v>1985</v>
      </c>
      <c r="B1187" t="s">
        <v>2087</v>
      </c>
      <c r="C1187">
        <v>532861</v>
      </c>
      <c r="D1187">
        <v>120171843</v>
      </c>
      <c r="E1187" t="s">
        <v>2104</v>
      </c>
      <c r="G1187" t="s">
        <v>2198</v>
      </c>
      <c r="H1187" t="s">
        <v>1113</v>
      </c>
      <c r="I1187" t="s">
        <v>2912</v>
      </c>
      <c r="J1187" t="s">
        <v>2200</v>
      </c>
    </row>
    <row r="1188" spans="1:13" x14ac:dyDescent="0.3">
      <c r="A1188" t="s">
        <v>4559</v>
      </c>
      <c r="B1188" t="s">
        <v>4619</v>
      </c>
      <c r="C1188">
        <v>120211967</v>
      </c>
      <c r="D1188">
        <v>120211668</v>
      </c>
      <c r="E1188" t="s">
        <v>4620</v>
      </c>
      <c r="F1188" t="s">
        <v>4621</v>
      </c>
      <c r="G1188" t="s">
        <v>2198</v>
      </c>
      <c r="H1188" t="s">
        <v>4561</v>
      </c>
      <c r="I1188" t="s">
        <v>3102</v>
      </c>
      <c r="J1188" t="s">
        <v>4151</v>
      </c>
    </row>
    <row r="1189" spans="1:13" x14ac:dyDescent="0.3">
      <c r="A1189" t="s">
        <v>4622</v>
      </c>
      <c r="B1189" t="s">
        <v>4619</v>
      </c>
      <c r="C1189">
        <v>120211967</v>
      </c>
      <c r="D1189">
        <v>120211968</v>
      </c>
      <c r="E1189" t="s">
        <v>4623</v>
      </c>
      <c r="G1189" t="s">
        <v>2198</v>
      </c>
      <c r="H1189" t="s">
        <v>1093</v>
      </c>
      <c r="I1189" t="s">
        <v>2267</v>
      </c>
      <c r="L1189" t="s">
        <v>4624</v>
      </c>
      <c r="M1189" t="s">
        <v>4625</v>
      </c>
    </row>
    <row r="1190" spans="1:13" x14ac:dyDescent="0.3">
      <c r="A1190" t="s">
        <v>4627</v>
      </c>
      <c r="B1190" t="s">
        <v>2087</v>
      </c>
      <c r="C1190">
        <v>532861</v>
      </c>
    </row>
    <row r="1191" spans="1:13" x14ac:dyDescent="0.3">
      <c r="A1191" t="s">
        <v>4628</v>
      </c>
      <c r="B1191" t="s">
        <v>2087</v>
      </c>
      <c r="C1191">
        <v>532861</v>
      </c>
    </row>
    <row r="1192" spans="1:13" x14ac:dyDescent="0.3">
      <c r="A1192" t="s">
        <v>4632</v>
      </c>
      <c r="B1192" t="s">
        <v>3336</v>
      </c>
      <c r="C1192">
        <v>120191158</v>
      </c>
      <c r="E1192" t="s">
        <v>4636</v>
      </c>
    </row>
    <row r="1193" spans="1:13" x14ac:dyDescent="0.3">
      <c r="A1193" t="s">
        <v>4633</v>
      </c>
      <c r="B1193" t="s">
        <v>3336</v>
      </c>
      <c r="C1193">
        <v>120191158</v>
      </c>
      <c r="E1193" t="s">
        <v>4637</v>
      </c>
    </row>
    <row r="1194" spans="1:13" x14ac:dyDescent="0.3">
      <c r="A1194" t="s">
        <v>4634</v>
      </c>
      <c r="B1194" t="s">
        <v>3336</v>
      </c>
      <c r="C1194">
        <v>120191158</v>
      </c>
      <c r="E1194" t="s">
        <v>4638</v>
      </c>
    </row>
    <row r="1195" spans="1:13" x14ac:dyDescent="0.3">
      <c r="A1195" t="s">
        <v>4635</v>
      </c>
      <c r="B1195" t="s">
        <v>3336</v>
      </c>
      <c r="C1195">
        <v>120191158</v>
      </c>
      <c r="E1195" t="s">
        <v>4639</v>
      </c>
    </row>
    <row r="1196" spans="1:13" x14ac:dyDescent="0.3">
      <c r="A1196" t="s">
        <v>4631</v>
      </c>
      <c r="B1196" t="s">
        <v>3336</v>
      </c>
      <c r="C1196">
        <v>120191158</v>
      </c>
      <c r="E1196" t="s">
        <v>4640</v>
      </c>
    </row>
  </sheetData>
  <protectedRanges>
    <protectedRange sqref="A2:G123" name="Range1_1"/>
  </protectedRanges>
  <conditionalFormatting sqref="E1283:E1048576 E1:E1189">
    <cfRule type="duplicateValues" dxfId="6" priority="4"/>
  </conditionalFormatting>
  <conditionalFormatting sqref="C480 C481:D481">
    <cfRule type="expression" dxfId="5" priority="3">
      <formula>MOD(ROW(), 2) = 0</formula>
    </cfRule>
  </conditionalFormatting>
  <conditionalFormatting sqref="D774:D1189 D1:D772 F772 D1283:D1048576">
    <cfRule type="duplicateValues" dxfId="4" priority="1"/>
  </conditionalFormatting>
  <conditionalFormatting sqref="D774:D1189 D482:D772 D480 D1:D469 F772 D1283:D1048576">
    <cfRule type="duplicateValues" dxfId="3" priority="7"/>
  </conditionalFormatting>
  <dataValidations count="1">
    <dataValidation type="list" allowBlank="1" showDropDown="1" showInputMessage="1" showErrorMessage="1" sqref="A1:D1" xr:uid="{8B9C875E-C483-4C8E-9065-EEA746BF429B}">
      <formula1>"wago1"</formula1>
    </dataValidation>
  </dataValidations>
  <hyperlinks>
    <hyperlink ref="E361" r:id="rId1" xr:uid="{F15ABB4C-6176-4B1F-9671-21CFE4F68B8E}"/>
    <hyperlink ref="E394" r:id="rId2" xr:uid="{C00C0FFC-E81A-4ED6-838F-E5DFF783B65C}"/>
    <hyperlink ref="E226" r:id="rId3" xr:uid="{BB5FB684-FD30-4F49-BDEC-71F923B01953}"/>
    <hyperlink ref="E412" r:id="rId4" xr:uid="{CD7196D0-146C-429C-8BA9-64B0F738FD7D}"/>
    <hyperlink ref="E31" r:id="rId5" xr:uid="{6DCE0F00-B594-4F4B-AED1-72B6FABE584F}"/>
    <hyperlink ref="E520" r:id="rId6" xr:uid="{6C8BC4E4-C446-47A6-AF8A-D25A298B3F25}"/>
    <hyperlink ref="E71" r:id="rId7" xr:uid="{0AD79025-7C7F-417B-973A-4F42499F79F0}"/>
  </hyperlinks>
  <pageMargins left="0.7" right="0.7" top="0.75" bottom="0.75" header="0.3" footer="0.3"/>
  <pageSetup orientation="portrait" horizontalDpi="4294967293" r:id="rId8"/>
  <headerFooter>
    <oddFooter>&amp;C&amp;1#&amp;"Calibri"&amp;10&amp;K000000Internal</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033B6E-39B9-4F75-A3D0-CBACF780B698}">
  <dimension ref="A1:M133"/>
  <sheetViews>
    <sheetView topLeftCell="A96" workbookViewId="0">
      <selection activeCell="C2" sqref="C2:C133"/>
    </sheetView>
  </sheetViews>
  <sheetFormatPr defaultRowHeight="14.4" x14ac:dyDescent="0.3"/>
  <cols>
    <col min="1" max="1" width="23.33203125" customWidth="1"/>
    <col min="2" max="2" width="26" customWidth="1"/>
    <col min="3" max="3" width="17.33203125" customWidth="1"/>
    <col min="4" max="4" width="25.5546875" customWidth="1"/>
    <col min="5" max="5" width="53.6640625" customWidth="1"/>
    <col min="6" max="6" width="14.44140625" customWidth="1"/>
    <col min="7" max="7" width="61.6640625" customWidth="1"/>
    <col min="9" max="9" width="11.88671875" bestFit="1" customWidth="1"/>
    <col min="10" max="10" width="11.5546875" bestFit="1" customWidth="1"/>
  </cols>
  <sheetData>
    <row r="1" spans="1:13" ht="28.2" x14ac:dyDescent="0.3">
      <c r="A1" s="3" t="s">
        <v>2</v>
      </c>
      <c r="B1" s="3" t="s">
        <v>0</v>
      </c>
      <c r="C1" s="3" t="s">
        <v>1</v>
      </c>
      <c r="D1" s="4" t="s">
        <v>3</v>
      </c>
      <c r="E1" s="10" t="s">
        <v>11</v>
      </c>
      <c r="F1" s="10" t="s">
        <v>10</v>
      </c>
      <c r="G1" s="10" t="s">
        <v>12</v>
      </c>
      <c r="H1" s="10" t="s">
        <v>13</v>
      </c>
      <c r="I1" s="10" t="s">
        <v>14</v>
      </c>
      <c r="J1" s="1" t="s">
        <v>2192</v>
      </c>
      <c r="K1" s="1" t="s">
        <v>2193</v>
      </c>
      <c r="L1" s="1" t="s">
        <v>2194</v>
      </c>
      <c r="M1" s="1" t="s">
        <v>2195</v>
      </c>
    </row>
    <row r="2" spans="1:13" x14ac:dyDescent="0.3">
      <c r="A2" s="13" t="s">
        <v>92</v>
      </c>
      <c r="B2" s="13" t="s">
        <v>93</v>
      </c>
      <c r="C2" s="13">
        <v>507143</v>
      </c>
      <c r="D2" s="13">
        <v>101334627</v>
      </c>
      <c r="J2" s="13"/>
      <c r="K2" s="13"/>
      <c r="L2" s="13"/>
      <c r="M2" s="13"/>
    </row>
    <row r="3" spans="1:13" x14ac:dyDescent="0.3">
      <c r="A3" s="13" t="s">
        <v>69</v>
      </c>
      <c r="B3" s="13" t="s">
        <v>70</v>
      </c>
      <c r="C3" s="13">
        <v>7460691</v>
      </c>
      <c r="D3" s="13">
        <v>101266580</v>
      </c>
      <c r="J3" s="13"/>
      <c r="K3" s="13"/>
      <c r="L3" s="13"/>
      <c r="M3" s="13"/>
    </row>
    <row r="4" spans="1:13" x14ac:dyDescent="0.3">
      <c r="A4" t="s">
        <v>277</v>
      </c>
      <c r="B4" t="s">
        <v>2868</v>
      </c>
      <c r="C4">
        <v>7463020</v>
      </c>
      <c r="D4">
        <v>100994251</v>
      </c>
      <c r="E4" t="s">
        <v>279</v>
      </c>
      <c r="H4" t="s">
        <v>1182</v>
      </c>
      <c r="I4" t="s">
        <v>2902</v>
      </c>
      <c r="M4" t="s">
        <v>2903</v>
      </c>
    </row>
    <row r="5" spans="1:13" x14ac:dyDescent="0.3">
      <c r="A5" s="13" t="s">
        <v>56</v>
      </c>
      <c r="B5" s="13" t="s">
        <v>57</v>
      </c>
      <c r="C5" s="13">
        <v>7467067</v>
      </c>
      <c r="D5" s="13">
        <v>101290610</v>
      </c>
      <c r="J5" s="13"/>
      <c r="K5" s="13"/>
      <c r="L5" s="13"/>
      <c r="M5" s="13"/>
    </row>
    <row r="6" spans="1:13" x14ac:dyDescent="0.3">
      <c r="A6" t="s">
        <v>169</v>
      </c>
      <c r="B6" t="s">
        <v>170</v>
      </c>
      <c r="C6">
        <v>7498595</v>
      </c>
      <c r="D6">
        <v>101362236</v>
      </c>
      <c r="E6" t="s">
        <v>171</v>
      </c>
      <c r="J6" s="13"/>
      <c r="K6" s="13"/>
      <c r="L6" s="13"/>
      <c r="M6" s="13"/>
    </row>
    <row r="7" spans="1:13" x14ac:dyDescent="0.3">
      <c r="A7" t="s">
        <v>2191</v>
      </c>
      <c r="B7" t="s">
        <v>2232</v>
      </c>
      <c r="C7">
        <v>120171916</v>
      </c>
      <c r="D7">
        <v>120172029</v>
      </c>
      <c r="E7" t="s">
        <v>2233</v>
      </c>
      <c r="G7" t="s">
        <v>2198</v>
      </c>
      <c r="H7" t="s">
        <v>1226</v>
      </c>
      <c r="I7" t="s">
        <v>2234</v>
      </c>
      <c r="J7" t="s">
        <v>2200</v>
      </c>
    </row>
    <row r="8" spans="1:13" x14ac:dyDescent="0.3">
      <c r="A8" s="13" t="s">
        <v>36</v>
      </c>
      <c r="B8" s="13" t="s">
        <v>37</v>
      </c>
      <c r="C8" s="13">
        <v>518250</v>
      </c>
      <c r="D8" s="13">
        <v>100966580</v>
      </c>
      <c r="J8" s="13"/>
      <c r="K8" s="13"/>
      <c r="L8" s="13"/>
      <c r="M8" s="13"/>
    </row>
    <row r="9" spans="1:13" x14ac:dyDescent="0.3">
      <c r="A9" t="s">
        <v>2189</v>
      </c>
      <c r="B9" t="s">
        <v>2190</v>
      </c>
      <c r="C9">
        <v>120171917</v>
      </c>
      <c r="D9">
        <v>120172028</v>
      </c>
      <c r="E9" t="s">
        <v>2235</v>
      </c>
      <c r="G9" t="s">
        <v>2198</v>
      </c>
      <c r="H9" t="s">
        <v>2236</v>
      </c>
      <c r="I9" t="s">
        <v>2237</v>
      </c>
      <c r="J9" t="s">
        <v>2200</v>
      </c>
    </row>
    <row r="10" spans="1:13" x14ac:dyDescent="0.3">
      <c r="A10" t="s">
        <v>1957</v>
      </c>
      <c r="B10" t="s">
        <v>1969</v>
      </c>
      <c r="C10">
        <v>110006112</v>
      </c>
      <c r="D10">
        <v>101140268</v>
      </c>
      <c r="E10" t="s">
        <v>1963</v>
      </c>
      <c r="H10" s="15" t="str">
        <f>IF(ISBLANK(A10),"",IFERROR(LEFT(A10,SEARCH(" ",A10)-1),""))</f>
        <v>Jonathan</v>
      </c>
      <c r="I10" s="15" t="str">
        <f>IF(ISBLANK(A10),"",IFERROR(RIGHT(A10,LEN(A10)-SEARCH(" ",A10)),""))</f>
        <v>Colorado</v>
      </c>
    </row>
    <row r="11" spans="1:13" x14ac:dyDescent="0.3">
      <c r="A11" t="s">
        <v>459</v>
      </c>
      <c r="B11" t="s">
        <v>460</v>
      </c>
      <c r="C11">
        <v>508073</v>
      </c>
      <c r="D11">
        <v>101189700</v>
      </c>
      <c r="E11" t="s">
        <v>461</v>
      </c>
      <c r="F11" t="s">
        <v>462</v>
      </c>
      <c r="G11" t="s">
        <v>463</v>
      </c>
    </row>
    <row r="12" spans="1:13" x14ac:dyDescent="0.3">
      <c r="A12" t="s">
        <v>2808</v>
      </c>
      <c r="B12" t="s">
        <v>2809</v>
      </c>
      <c r="C12">
        <v>120096404</v>
      </c>
      <c r="D12">
        <v>120096471</v>
      </c>
      <c r="E12" t="s">
        <v>2810</v>
      </c>
      <c r="H12" t="s">
        <v>2835</v>
      </c>
      <c r="I12" t="s">
        <v>2836</v>
      </c>
      <c r="J12" t="s">
        <v>2343</v>
      </c>
      <c r="K12" t="s">
        <v>2343</v>
      </c>
      <c r="L12" t="s">
        <v>2837</v>
      </c>
    </row>
    <row r="13" spans="1:13" x14ac:dyDescent="0.3">
      <c r="A13" s="13" t="s">
        <v>121</v>
      </c>
      <c r="B13" s="13" t="s">
        <v>122</v>
      </c>
      <c r="C13" s="13">
        <v>7438426</v>
      </c>
      <c r="D13" s="13">
        <v>101244645</v>
      </c>
      <c r="J13" s="13"/>
      <c r="K13" s="13"/>
      <c r="L13" s="13"/>
      <c r="M13" s="13"/>
    </row>
    <row r="14" spans="1:13" x14ac:dyDescent="0.3">
      <c r="A14" t="s">
        <v>835</v>
      </c>
      <c r="B14" t="s">
        <v>836</v>
      </c>
      <c r="C14">
        <v>532258</v>
      </c>
      <c r="D14">
        <v>100922151</v>
      </c>
      <c r="E14" t="s">
        <v>837</v>
      </c>
      <c r="F14" t="s">
        <v>135</v>
      </c>
      <c r="G14" t="s">
        <v>838</v>
      </c>
      <c r="I14" t="s">
        <v>1084</v>
      </c>
      <c r="J14" t="s">
        <v>1107</v>
      </c>
    </row>
    <row r="15" spans="1:13" x14ac:dyDescent="0.3">
      <c r="A15" s="13" t="s">
        <v>110</v>
      </c>
      <c r="B15" s="13" t="s">
        <v>111</v>
      </c>
      <c r="C15" s="13">
        <v>7493671</v>
      </c>
      <c r="D15" s="13">
        <v>101340263</v>
      </c>
      <c r="J15" s="13"/>
      <c r="K15" s="13"/>
      <c r="L15" s="13"/>
      <c r="M15" s="13"/>
    </row>
    <row r="16" spans="1:13" x14ac:dyDescent="0.3">
      <c r="A16" s="13" t="s">
        <v>75</v>
      </c>
      <c r="B16" s="13" t="s">
        <v>76</v>
      </c>
      <c r="C16" s="13">
        <v>522371</v>
      </c>
      <c r="D16" s="13">
        <v>101328098</v>
      </c>
      <c r="J16" s="13"/>
      <c r="K16" s="13"/>
      <c r="L16" s="13"/>
      <c r="M16" s="13"/>
    </row>
    <row r="17" spans="1:13" x14ac:dyDescent="0.3">
      <c r="A17" t="s">
        <v>932</v>
      </c>
      <c r="B17" t="s">
        <v>933</v>
      </c>
      <c r="C17">
        <v>502003</v>
      </c>
      <c r="D17">
        <v>101053635</v>
      </c>
      <c r="E17" t="s">
        <v>934</v>
      </c>
      <c r="F17" t="s">
        <v>135</v>
      </c>
      <c r="G17" t="s">
        <v>935</v>
      </c>
      <c r="H17" t="s">
        <v>1180</v>
      </c>
      <c r="I17" t="s">
        <v>1181</v>
      </c>
    </row>
    <row r="18" spans="1:13" x14ac:dyDescent="0.3">
      <c r="A18" t="s">
        <v>2959</v>
      </c>
      <c r="B18" t="s">
        <v>2960</v>
      </c>
      <c r="C18">
        <v>120106141</v>
      </c>
      <c r="D18">
        <v>120106142</v>
      </c>
      <c r="E18" t="s">
        <v>2961</v>
      </c>
      <c r="F18" t="s">
        <v>2962</v>
      </c>
      <c r="G18" t="s">
        <v>2198</v>
      </c>
      <c r="H18" t="s">
        <v>1119</v>
      </c>
      <c r="I18" t="s">
        <v>2963</v>
      </c>
      <c r="L18" t="s">
        <v>2964</v>
      </c>
      <c r="M18" t="s">
        <v>2965</v>
      </c>
    </row>
    <row r="19" spans="1:13" x14ac:dyDescent="0.3">
      <c r="A19" t="s">
        <v>2871</v>
      </c>
      <c r="B19" t="s">
        <v>2872</v>
      </c>
      <c r="C19">
        <v>110005399</v>
      </c>
      <c r="D19">
        <v>101113828</v>
      </c>
      <c r="E19" t="s">
        <v>2873</v>
      </c>
      <c r="H19" t="s">
        <v>1175</v>
      </c>
      <c r="I19" t="s">
        <v>2906</v>
      </c>
      <c r="L19" t="s">
        <v>2907</v>
      </c>
      <c r="M19" t="s">
        <v>2908</v>
      </c>
    </row>
    <row r="20" spans="1:13" x14ac:dyDescent="0.3">
      <c r="A20" t="s">
        <v>174</v>
      </c>
      <c r="B20" t="s">
        <v>175</v>
      </c>
      <c r="C20">
        <v>7498596</v>
      </c>
      <c r="D20">
        <v>101362242</v>
      </c>
      <c r="E20" t="s">
        <v>176</v>
      </c>
      <c r="J20" s="13"/>
      <c r="K20" s="13"/>
      <c r="L20" s="13"/>
      <c r="M20" s="13"/>
    </row>
    <row r="21" spans="1:13" x14ac:dyDescent="0.3">
      <c r="A21" s="13" t="s">
        <v>73</v>
      </c>
      <c r="B21" s="13" t="s">
        <v>74</v>
      </c>
      <c r="C21" s="13">
        <v>7480788</v>
      </c>
      <c r="D21" s="13">
        <v>101266537</v>
      </c>
      <c r="J21" s="13"/>
      <c r="K21" s="13"/>
      <c r="L21" s="13"/>
      <c r="M21" s="13"/>
    </row>
    <row r="22" spans="1:13" x14ac:dyDescent="0.3">
      <c r="A22" s="13" t="s">
        <v>48</v>
      </c>
      <c r="B22" s="13" t="s">
        <v>49</v>
      </c>
      <c r="C22" s="13">
        <v>7478385</v>
      </c>
      <c r="D22" s="13">
        <v>101255923</v>
      </c>
      <c r="J22" s="13"/>
      <c r="K22" s="13"/>
      <c r="L22" s="13"/>
      <c r="M22" s="13"/>
    </row>
    <row r="23" spans="1:13" x14ac:dyDescent="0.3">
      <c r="A23" s="13" t="s">
        <v>1991</v>
      </c>
      <c r="B23" s="13" t="s">
        <v>39</v>
      </c>
      <c r="C23" s="13">
        <v>534217</v>
      </c>
      <c r="D23" s="13">
        <v>100748289</v>
      </c>
      <c r="J23" s="13"/>
      <c r="K23" s="13"/>
      <c r="L23" s="13"/>
      <c r="M23" s="13"/>
    </row>
    <row r="24" spans="1:13" x14ac:dyDescent="0.3">
      <c r="A24" t="s">
        <v>1999</v>
      </c>
      <c r="B24" t="s">
        <v>2000</v>
      </c>
      <c r="C24">
        <v>7498597</v>
      </c>
      <c r="D24">
        <v>120170638</v>
      </c>
      <c r="E24" t="s">
        <v>2427</v>
      </c>
      <c r="G24" t="s">
        <v>2198</v>
      </c>
      <c r="H24" t="s">
        <v>1141</v>
      </c>
      <c r="I24" t="s">
        <v>2428</v>
      </c>
    </row>
    <row r="25" spans="1:13" x14ac:dyDescent="0.3">
      <c r="A25" t="s">
        <v>1069</v>
      </c>
      <c r="B25" t="s">
        <v>1070</v>
      </c>
      <c r="C25">
        <v>519831</v>
      </c>
      <c r="D25">
        <v>101413756</v>
      </c>
      <c r="E25" s="14" t="s">
        <v>1071</v>
      </c>
      <c r="H25" s="15" t="str">
        <f>IF(ISBLANK(A25),"",IFERROR(LEFT(A25,SEARCH(" ",A25)-1),""))</f>
        <v>Jesse</v>
      </c>
      <c r="I25" s="15" t="str">
        <f>IF(ISBLANK(A25),"",IFERROR(RIGHT(A25,LEN(A25)-SEARCH(" ",A25)),""))</f>
        <v>Toland</v>
      </c>
    </row>
    <row r="26" spans="1:13" x14ac:dyDescent="0.3">
      <c r="A26" t="s">
        <v>2185</v>
      </c>
      <c r="B26" t="s">
        <v>2184</v>
      </c>
      <c r="C26">
        <v>120171918</v>
      </c>
      <c r="D26">
        <v>120172024</v>
      </c>
      <c r="E26" t="s">
        <v>2238</v>
      </c>
      <c r="G26" t="s">
        <v>2198</v>
      </c>
      <c r="H26" t="s">
        <v>2239</v>
      </c>
      <c r="I26" t="s">
        <v>2240</v>
      </c>
      <c r="J26" t="s">
        <v>2200</v>
      </c>
    </row>
    <row r="27" spans="1:13" x14ac:dyDescent="0.3">
      <c r="A27" t="s">
        <v>2182</v>
      </c>
      <c r="B27" t="s">
        <v>2180</v>
      </c>
      <c r="C27">
        <v>7498601</v>
      </c>
      <c r="D27">
        <v>101059015</v>
      </c>
      <c r="E27" t="s">
        <v>2438</v>
      </c>
      <c r="G27" t="s">
        <v>2386</v>
      </c>
      <c r="H27" t="s">
        <v>2439</v>
      </c>
      <c r="I27" t="s">
        <v>2440</v>
      </c>
      <c r="L27" t="s">
        <v>2441</v>
      </c>
    </row>
    <row r="28" spans="1:13" x14ac:dyDescent="0.3">
      <c r="A28" t="s">
        <v>2815</v>
      </c>
      <c r="B28" t="s">
        <v>2816</v>
      </c>
      <c r="C28">
        <v>120141398</v>
      </c>
      <c r="D28">
        <v>120141740</v>
      </c>
      <c r="E28" t="s">
        <v>2817</v>
      </c>
      <c r="H28" t="s">
        <v>2556</v>
      </c>
      <c r="I28" t="s">
        <v>2841</v>
      </c>
      <c r="J28" t="s">
        <v>2200</v>
      </c>
      <c r="L28" t="s">
        <v>2842</v>
      </c>
    </row>
    <row r="29" spans="1:13" x14ac:dyDescent="0.3">
      <c r="A29" t="s">
        <v>1986</v>
      </c>
      <c r="B29" t="s">
        <v>1987</v>
      </c>
      <c r="C29">
        <v>110010046</v>
      </c>
      <c r="D29">
        <v>120141721</v>
      </c>
      <c r="H29" s="15" t="str">
        <f>IF(ISBLANK(A29),"",IFERROR(LEFT(A29,SEARCH(" ",A29)-1),""))</f>
        <v>Laura</v>
      </c>
      <c r="I29" s="15" t="str">
        <f>IF(ISBLANK(A29),"",IFERROR(RIGHT(A29,LEN(A29)-SEARCH(" ",A29)),""))</f>
        <v>Nolen</v>
      </c>
    </row>
    <row r="30" spans="1:13" x14ac:dyDescent="0.3">
      <c r="A30" s="13" t="s">
        <v>103</v>
      </c>
      <c r="B30" s="13" t="s">
        <v>104</v>
      </c>
      <c r="C30" s="13">
        <v>7470025</v>
      </c>
      <c r="D30" s="13">
        <v>101334125</v>
      </c>
      <c r="J30" s="13"/>
      <c r="K30" s="13"/>
      <c r="L30" s="13"/>
      <c r="M30" s="13"/>
    </row>
    <row r="31" spans="1:13" x14ac:dyDescent="0.3">
      <c r="A31" s="13" t="s">
        <v>27</v>
      </c>
      <c r="B31" s="13" t="s">
        <v>28</v>
      </c>
      <c r="C31" s="13">
        <v>7435262</v>
      </c>
      <c r="D31" s="13">
        <v>101068123</v>
      </c>
      <c r="J31" s="13"/>
      <c r="K31" s="13"/>
      <c r="L31" s="13"/>
      <c r="M31" s="13"/>
    </row>
    <row r="32" spans="1:13" x14ac:dyDescent="0.3">
      <c r="A32" s="13" t="s">
        <v>129</v>
      </c>
      <c r="B32" s="13" t="s">
        <v>130</v>
      </c>
      <c r="C32" s="13">
        <v>7458973</v>
      </c>
      <c r="D32" s="13">
        <v>101359435</v>
      </c>
      <c r="J32" s="13"/>
      <c r="K32" s="13"/>
      <c r="L32" s="13"/>
      <c r="M32" s="13"/>
    </row>
    <row r="33" spans="1:13" x14ac:dyDescent="0.3">
      <c r="A33" t="s">
        <v>2177</v>
      </c>
      <c r="B33" t="s">
        <v>2178</v>
      </c>
      <c r="C33">
        <v>120171844</v>
      </c>
      <c r="D33">
        <v>120172020</v>
      </c>
      <c r="E33" t="s">
        <v>2395</v>
      </c>
      <c r="G33" t="s">
        <v>2198</v>
      </c>
      <c r="H33" t="s">
        <v>2396</v>
      </c>
      <c r="I33" t="s">
        <v>2397</v>
      </c>
    </row>
    <row r="34" spans="1:13" x14ac:dyDescent="0.3">
      <c r="A34" t="s">
        <v>1970</v>
      </c>
      <c r="B34" t="s">
        <v>2062</v>
      </c>
      <c r="C34">
        <v>516773</v>
      </c>
      <c r="D34">
        <v>100731633</v>
      </c>
    </row>
    <row r="35" spans="1:13" x14ac:dyDescent="0.3">
      <c r="A35" s="13" t="s">
        <v>106</v>
      </c>
      <c r="B35" s="13" t="s">
        <v>107</v>
      </c>
      <c r="C35" s="13">
        <v>7494137</v>
      </c>
      <c r="D35" s="13">
        <v>101342603</v>
      </c>
      <c r="J35" s="13"/>
      <c r="K35" s="13"/>
      <c r="L35" s="13"/>
      <c r="M35" s="13"/>
    </row>
    <row r="36" spans="1:13" x14ac:dyDescent="0.3">
      <c r="A36" s="13" t="s">
        <v>94</v>
      </c>
      <c r="B36" s="13" t="s">
        <v>95</v>
      </c>
      <c r="C36" s="13">
        <v>7487916</v>
      </c>
      <c r="D36" s="13">
        <v>101330543</v>
      </c>
      <c r="J36" s="13"/>
      <c r="K36" s="13"/>
      <c r="L36" s="13"/>
      <c r="M36" s="13"/>
    </row>
    <row r="37" spans="1:13" x14ac:dyDescent="0.3">
      <c r="A37" t="s">
        <v>2172</v>
      </c>
      <c r="B37" t="s">
        <v>2398</v>
      </c>
      <c r="C37">
        <v>514380</v>
      </c>
      <c r="D37">
        <v>120172004</v>
      </c>
      <c r="E37" t="s">
        <v>2399</v>
      </c>
      <c r="G37" t="s">
        <v>2198</v>
      </c>
      <c r="H37" t="s">
        <v>1117</v>
      </c>
      <c r="I37" t="s">
        <v>2400</v>
      </c>
    </row>
    <row r="38" spans="1:13" x14ac:dyDescent="0.3">
      <c r="A38" s="13" t="s">
        <v>125</v>
      </c>
      <c r="B38" s="13" t="s">
        <v>126</v>
      </c>
      <c r="C38" s="13">
        <v>518728</v>
      </c>
      <c r="D38" s="13">
        <v>101210982</v>
      </c>
      <c r="J38" s="13"/>
      <c r="K38" s="13"/>
      <c r="L38" s="13"/>
      <c r="M38" s="13"/>
    </row>
    <row r="39" spans="1:13" x14ac:dyDescent="0.3">
      <c r="A39" t="s">
        <v>2170</v>
      </c>
      <c r="B39" t="s">
        <v>2171</v>
      </c>
      <c r="C39">
        <v>120171926</v>
      </c>
      <c r="D39">
        <v>120172002</v>
      </c>
      <c r="E39" t="s">
        <v>2285</v>
      </c>
      <c r="G39" t="s">
        <v>2198</v>
      </c>
      <c r="H39" t="s">
        <v>2286</v>
      </c>
      <c r="I39" t="s">
        <v>2287</v>
      </c>
      <c r="J39" t="s">
        <v>2200</v>
      </c>
    </row>
    <row r="40" spans="1:13" x14ac:dyDescent="0.3">
      <c r="A40" t="s">
        <v>185</v>
      </c>
      <c r="B40" t="s">
        <v>186</v>
      </c>
      <c r="C40">
        <v>7499092</v>
      </c>
      <c r="D40">
        <v>101363854</v>
      </c>
      <c r="E40" t="s">
        <v>187</v>
      </c>
      <c r="F40" t="s">
        <v>188</v>
      </c>
      <c r="J40" s="13"/>
      <c r="K40" s="13"/>
      <c r="L40" s="13"/>
      <c r="M40" s="13"/>
    </row>
    <row r="41" spans="1:13" x14ac:dyDescent="0.3">
      <c r="A41" s="13" t="s">
        <v>29</v>
      </c>
      <c r="B41" s="13" t="s">
        <v>30</v>
      </c>
      <c r="C41" s="13">
        <v>506398</v>
      </c>
      <c r="D41" s="13">
        <v>100899593</v>
      </c>
      <c r="J41" s="13"/>
      <c r="K41" s="13"/>
      <c r="L41" s="13"/>
      <c r="M41" s="13"/>
    </row>
    <row r="42" spans="1:13" x14ac:dyDescent="0.3">
      <c r="A42" t="s">
        <v>2167</v>
      </c>
      <c r="B42" t="s">
        <v>2168</v>
      </c>
      <c r="C42">
        <v>120171925</v>
      </c>
      <c r="D42">
        <v>120172000</v>
      </c>
      <c r="E42" t="s">
        <v>2279</v>
      </c>
      <c r="G42" t="s">
        <v>2198</v>
      </c>
      <c r="H42" t="s">
        <v>2280</v>
      </c>
      <c r="I42" t="s">
        <v>2281</v>
      </c>
      <c r="J42" t="s">
        <v>2200</v>
      </c>
    </row>
    <row r="43" spans="1:13" x14ac:dyDescent="0.3">
      <c r="A43" t="s">
        <v>192</v>
      </c>
      <c r="B43" t="s">
        <v>193</v>
      </c>
      <c r="C43">
        <v>7498602</v>
      </c>
      <c r="D43">
        <v>101361978</v>
      </c>
      <c r="E43" t="s">
        <v>194</v>
      </c>
      <c r="F43" t="s">
        <v>135</v>
      </c>
      <c r="G43" t="s">
        <v>195</v>
      </c>
      <c r="J43" s="13"/>
      <c r="K43" s="13"/>
      <c r="L43" s="13"/>
      <c r="M43" s="13"/>
    </row>
    <row r="44" spans="1:13" x14ac:dyDescent="0.3">
      <c r="A44" s="13" t="s">
        <v>96</v>
      </c>
      <c r="B44" s="13" t="s">
        <v>97</v>
      </c>
      <c r="C44" s="13">
        <v>7463975</v>
      </c>
      <c r="D44" s="13">
        <v>101334629</v>
      </c>
      <c r="J44" s="13"/>
      <c r="K44" s="13"/>
      <c r="L44" s="13"/>
      <c r="M44" s="13"/>
    </row>
    <row r="45" spans="1:13" x14ac:dyDescent="0.3">
      <c r="A45" s="13" t="s">
        <v>50</v>
      </c>
      <c r="B45" s="13" t="s">
        <v>51</v>
      </c>
      <c r="C45" s="13">
        <v>7434304</v>
      </c>
      <c r="D45" s="13">
        <v>101064484</v>
      </c>
      <c r="J45" s="13"/>
      <c r="K45" s="13"/>
      <c r="L45" s="13"/>
      <c r="M45" s="13"/>
    </row>
    <row r="46" spans="1:13" x14ac:dyDescent="0.3">
      <c r="A46" t="s">
        <v>2741</v>
      </c>
      <c r="B46" t="s">
        <v>2742</v>
      </c>
      <c r="C46">
        <v>7461846</v>
      </c>
      <c r="D46">
        <v>100993182</v>
      </c>
      <c r="E46" t="s">
        <v>2743</v>
      </c>
      <c r="H46" t="s">
        <v>2749</v>
      </c>
      <c r="I46" t="s">
        <v>1175</v>
      </c>
      <c r="K46" t="s">
        <v>2750</v>
      </c>
      <c r="M46" t="s">
        <v>2751</v>
      </c>
    </row>
    <row r="47" spans="1:13" x14ac:dyDescent="0.3">
      <c r="A47" t="s">
        <v>1995</v>
      </c>
      <c r="B47" t="s">
        <v>1996</v>
      </c>
      <c r="C47">
        <v>110012649</v>
      </c>
      <c r="D47">
        <v>120171892</v>
      </c>
      <c r="H47" s="15" t="str">
        <f>IF(ISBLANK(A47),"",IFERROR(LEFT(A47,SEARCH(" ",A47)-1),""))</f>
        <v>Tyler</v>
      </c>
      <c r="I47" s="15" t="str">
        <f>IF(ISBLANK(A47),"",IFERROR(RIGHT(A47,LEN(A47)-SEARCH(" ",A47)),""))</f>
        <v>Cooper</v>
      </c>
    </row>
    <row r="48" spans="1:13" x14ac:dyDescent="0.3">
      <c r="A48" t="s">
        <v>452</v>
      </c>
      <c r="B48" t="s">
        <v>453</v>
      </c>
      <c r="C48">
        <v>7462119</v>
      </c>
      <c r="D48">
        <v>101022791</v>
      </c>
      <c r="E48" t="s">
        <v>454</v>
      </c>
      <c r="F48" t="s">
        <v>455</v>
      </c>
      <c r="G48" t="s">
        <v>456</v>
      </c>
    </row>
    <row r="49" spans="1:13" x14ac:dyDescent="0.3">
      <c r="A49" t="s">
        <v>2865</v>
      </c>
      <c r="B49" t="s">
        <v>2866</v>
      </c>
      <c r="C49">
        <v>120172600</v>
      </c>
      <c r="D49">
        <v>120172601</v>
      </c>
      <c r="E49" t="s">
        <v>2867</v>
      </c>
      <c r="H49" t="s">
        <v>1164</v>
      </c>
      <c r="I49" t="s">
        <v>2897</v>
      </c>
      <c r="J49" t="s">
        <v>2898</v>
      </c>
      <c r="L49" t="s">
        <v>2899</v>
      </c>
      <c r="M49" t="s">
        <v>2900</v>
      </c>
    </row>
    <row r="50" spans="1:13" x14ac:dyDescent="0.3">
      <c r="A50" s="13" t="s">
        <v>98</v>
      </c>
      <c r="B50" s="13" t="s">
        <v>99</v>
      </c>
      <c r="C50" s="13">
        <v>7461439</v>
      </c>
      <c r="D50" s="13">
        <v>101188259</v>
      </c>
      <c r="J50" s="13"/>
      <c r="K50" s="13"/>
      <c r="L50" s="13"/>
      <c r="M50" s="13"/>
    </row>
    <row r="51" spans="1:13" x14ac:dyDescent="0.3">
      <c r="A51" t="s">
        <v>196</v>
      </c>
      <c r="B51" t="s">
        <v>197</v>
      </c>
      <c r="C51">
        <v>7498606</v>
      </c>
      <c r="D51">
        <v>101361979</v>
      </c>
      <c r="E51" t="s">
        <v>198</v>
      </c>
      <c r="F51" t="s">
        <v>135</v>
      </c>
      <c r="G51" t="s">
        <v>199</v>
      </c>
      <c r="J51" s="13"/>
      <c r="K51" s="13"/>
      <c r="L51" s="13"/>
      <c r="M51" s="13"/>
    </row>
    <row r="52" spans="1:13" x14ac:dyDescent="0.3">
      <c r="A52" s="13" t="s">
        <v>21</v>
      </c>
      <c r="B52" s="13" t="s">
        <v>22</v>
      </c>
      <c r="C52" s="13"/>
      <c r="D52" s="13">
        <v>101216950</v>
      </c>
      <c r="J52" s="13"/>
      <c r="K52" s="13"/>
      <c r="L52" s="13"/>
      <c r="M52" s="13"/>
    </row>
    <row r="53" spans="1:13" x14ac:dyDescent="0.3">
      <c r="A53" t="s">
        <v>2166</v>
      </c>
      <c r="B53" t="s">
        <v>2165</v>
      </c>
      <c r="C53">
        <v>120171924</v>
      </c>
      <c r="D53">
        <v>120171999</v>
      </c>
      <c r="E53" t="s">
        <v>2274</v>
      </c>
      <c r="G53" t="s">
        <v>2198</v>
      </c>
      <c r="H53" t="s">
        <v>1115</v>
      </c>
      <c r="I53" t="s">
        <v>2275</v>
      </c>
      <c r="J53" t="s">
        <v>2200</v>
      </c>
    </row>
    <row r="54" spans="1:13" x14ac:dyDescent="0.3">
      <c r="A54" t="s">
        <v>892</v>
      </c>
      <c r="B54" t="s">
        <v>893</v>
      </c>
      <c r="C54">
        <v>7426293</v>
      </c>
      <c r="D54">
        <v>101216921</v>
      </c>
      <c r="E54" t="s">
        <v>894</v>
      </c>
      <c r="F54" t="s">
        <v>135</v>
      </c>
      <c r="G54" t="s">
        <v>895</v>
      </c>
      <c r="H54" t="s">
        <v>1143</v>
      </c>
      <c r="I54" t="s">
        <v>1144</v>
      </c>
    </row>
    <row r="55" spans="1:13" x14ac:dyDescent="0.3">
      <c r="A55" s="13" t="s">
        <v>40</v>
      </c>
      <c r="B55" s="13" t="s">
        <v>41</v>
      </c>
      <c r="C55" s="13">
        <v>7488709</v>
      </c>
      <c r="D55" s="13">
        <v>101314845</v>
      </c>
      <c r="J55" s="13"/>
      <c r="K55" s="13"/>
      <c r="L55" s="13"/>
      <c r="M55" s="13"/>
    </row>
    <row r="56" spans="1:13" x14ac:dyDescent="0.3">
      <c r="A56" t="s">
        <v>2205</v>
      </c>
      <c r="B56" t="s">
        <v>2206</v>
      </c>
      <c r="C56">
        <v>120171912</v>
      </c>
      <c r="D56">
        <v>120171997</v>
      </c>
      <c r="E56" t="s">
        <v>2207</v>
      </c>
      <c r="G56" t="s">
        <v>2198</v>
      </c>
      <c r="H56" t="s">
        <v>1238</v>
      </c>
      <c r="I56" t="s">
        <v>2208</v>
      </c>
      <c r="J56" t="s">
        <v>2200</v>
      </c>
    </row>
    <row r="57" spans="1:13" x14ac:dyDescent="0.3">
      <c r="A57" t="s">
        <v>2162</v>
      </c>
      <c r="B57" t="s">
        <v>2163</v>
      </c>
      <c r="C57">
        <v>120171923</v>
      </c>
      <c r="D57">
        <v>120171996</v>
      </c>
      <c r="E57" t="s">
        <v>2271</v>
      </c>
      <c r="G57" t="s">
        <v>2198</v>
      </c>
      <c r="H57" t="s">
        <v>2272</v>
      </c>
      <c r="I57" t="s">
        <v>2273</v>
      </c>
      <c r="J57" t="s">
        <v>2200</v>
      </c>
    </row>
    <row r="58" spans="1:13" x14ac:dyDescent="0.3">
      <c r="A58" t="s">
        <v>2161</v>
      </c>
      <c r="B58" t="s">
        <v>2196</v>
      </c>
      <c r="C58">
        <v>120171910</v>
      </c>
      <c r="D58">
        <v>120171995</v>
      </c>
      <c r="E58" t="s">
        <v>2197</v>
      </c>
      <c r="G58" t="s">
        <v>2198</v>
      </c>
      <c r="H58" t="s">
        <v>1161</v>
      </c>
      <c r="I58" t="s">
        <v>2199</v>
      </c>
      <c r="J58" t="s">
        <v>2200</v>
      </c>
    </row>
    <row r="59" spans="1:13" x14ac:dyDescent="0.3">
      <c r="A59" t="s">
        <v>406</v>
      </c>
      <c r="B59" t="s">
        <v>407</v>
      </c>
      <c r="C59">
        <v>7439496</v>
      </c>
      <c r="D59">
        <v>101266288</v>
      </c>
      <c r="E59" t="s">
        <v>408</v>
      </c>
      <c r="F59" t="s">
        <v>135</v>
      </c>
      <c r="G59" t="s">
        <v>409</v>
      </c>
    </row>
    <row r="60" spans="1:13" x14ac:dyDescent="0.3">
      <c r="A60" t="s">
        <v>204</v>
      </c>
      <c r="B60" t="s">
        <v>205</v>
      </c>
      <c r="C60">
        <v>7498607</v>
      </c>
      <c r="D60">
        <v>101361976</v>
      </c>
      <c r="E60" t="s">
        <v>206</v>
      </c>
      <c r="F60" t="s">
        <v>135</v>
      </c>
      <c r="G60" t="s">
        <v>207</v>
      </c>
      <c r="J60" s="13"/>
      <c r="K60" s="13"/>
      <c r="L60" s="13"/>
      <c r="M60" s="13"/>
    </row>
    <row r="61" spans="1:13" x14ac:dyDescent="0.3">
      <c r="A61" t="s">
        <v>2158</v>
      </c>
      <c r="B61" t="s">
        <v>2490</v>
      </c>
      <c r="C61">
        <v>7498609</v>
      </c>
      <c r="D61">
        <v>120171992</v>
      </c>
      <c r="E61" t="s">
        <v>2491</v>
      </c>
      <c r="G61" t="s">
        <v>2198</v>
      </c>
      <c r="H61" t="s">
        <v>2492</v>
      </c>
      <c r="I61" t="s">
        <v>2493</v>
      </c>
    </row>
    <row r="62" spans="1:13" x14ac:dyDescent="0.3">
      <c r="A62" s="13" t="s">
        <v>54</v>
      </c>
      <c r="B62" s="13" t="s">
        <v>55</v>
      </c>
      <c r="C62" s="13">
        <v>7461854</v>
      </c>
      <c r="D62" s="13">
        <v>101252641</v>
      </c>
      <c r="J62" s="13"/>
      <c r="K62" s="13"/>
      <c r="L62" s="13"/>
      <c r="M62" s="13"/>
    </row>
    <row r="63" spans="1:13" x14ac:dyDescent="0.3">
      <c r="A63" t="s">
        <v>2859</v>
      </c>
      <c r="B63" t="s">
        <v>2820</v>
      </c>
      <c r="C63">
        <v>120081834</v>
      </c>
      <c r="D63">
        <v>120112665</v>
      </c>
      <c r="E63" t="s">
        <v>2821</v>
      </c>
      <c r="H63" t="s">
        <v>2236</v>
      </c>
      <c r="I63" t="s">
        <v>2847</v>
      </c>
      <c r="J63" t="s">
        <v>2200</v>
      </c>
    </row>
    <row r="64" spans="1:13" x14ac:dyDescent="0.3">
      <c r="A64" t="s">
        <v>1915</v>
      </c>
      <c r="B64" t="s">
        <v>1916</v>
      </c>
      <c r="C64">
        <v>120081833</v>
      </c>
      <c r="D64">
        <v>120081984</v>
      </c>
      <c r="E64" s="14" t="s">
        <v>1917</v>
      </c>
      <c r="G64" t="s">
        <v>1918</v>
      </c>
      <c r="H64" s="15" t="str">
        <f>IF(ISBLANK(A64),"",IFERROR(LEFT(A64,SEARCH(" ",A64)-1),""))</f>
        <v>Robert</v>
      </c>
      <c r="I64" s="15" t="str">
        <f>IF(ISBLANK(A64),"",IFERROR(RIGHT(A64,LEN(A64)-SEARCH(" ",A64)),""))</f>
        <v>Jordan</v>
      </c>
    </row>
    <row r="65" spans="1:13" x14ac:dyDescent="0.3">
      <c r="A65" t="s">
        <v>876</v>
      </c>
      <c r="B65" t="s">
        <v>353</v>
      </c>
      <c r="C65">
        <v>523553</v>
      </c>
      <c r="D65">
        <v>101092873</v>
      </c>
      <c r="E65" t="s">
        <v>877</v>
      </c>
      <c r="G65" t="s">
        <v>2198</v>
      </c>
      <c r="H65" t="s">
        <v>1134</v>
      </c>
      <c r="I65" t="s">
        <v>2297</v>
      </c>
      <c r="L65" t="s">
        <v>2298</v>
      </c>
    </row>
    <row r="66" spans="1:13" x14ac:dyDescent="0.3">
      <c r="A66" t="s">
        <v>793</v>
      </c>
      <c r="B66" t="s">
        <v>794</v>
      </c>
      <c r="C66">
        <v>7502568</v>
      </c>
      <c r="D66">
        <v>101377151</v>
      </c>
      <c r="E66" t="s">
        <v>795</v>
      </c>
      <c r="F66" t="s">
        <v>796</v>
      </c>
      <c r="G66" t="s">
        <v>797</v>
      </c>
    </row>
    <row r="67" spans="1:13" x14ac:dyDescent="0.3">
      <c r="A67" s="13" t="s">
        <v>71</v>
      </c>
      <c r="B67" s="13" t="s">
        <v>72</v>
      </c>
      <c r="C67" s="13">
        <v>7476358</v>
      </c>
      <c r="D67" s="13">
        <v>101266578</v>
      </c>
      <c r="J67" s="13"/>
      <c r="K67" s="13"/>
      <c r="L67" s="13"/>
      <c r="M67" s="13"/>
    </row>
    <row r="68" spans="1:13" x14ac:dyDescent="0.3">
      <c r="A68" t="s">
        <v>269</v>
      </c>
      <c r="B68" t="s">
        <v>270</v>
      </c>
      <c r="C68">
        <v>7477482</v>
      </c>
      <c r="D68">
        <v>101267101</v>
      </c>
      <c r="E68" t="s">
        <v>271</v>
      </c>
      <c r="F68" t="s">
        <v>135</v>
      </c>
      <c r="G68" t="s">
        <v>272</v>
      </c>
      <c r="J68" s="13"/>
      <c r="K68" s="13"/>
      <c r="L68" s="13"/>
      <c r="M68" s="13"/>
    </row>
    <row r="69" spans="1:13" x14ac:dyDescent="0.3">
      <c r="A69" t="s">
        <v>2002</v>
      </c>
      <c r="B69" t="s">
        <v>2003</v>
      </c>
      <c r="C69">
        <v>120169796</v>
      </c>
      <c r="D69">
        <v>120171236</v>
      </c>
      <c r="H69" s="15" t="str">
        <f>IF(ISBLANK(A69),"",IFERROR(LEFT(A69,SEARCH(" ",A69)-1),""))</f>
        <v>Larry</v>
      </c>
      <c r="I69" s="15" t="str">
        <f>IF(ISBLANK(A69),"",IFERROR(RIGHT(A69,LEN(A69)-SEARCH(" ",A69)),""))</f>
        <v>Stokely</v>
      </c>
    </row>
    <row r="70" spans="1:13" x14ac:dyDescent="0.3">
      <c r="A70" t="s">
        <v>2155</v>
      </c>
      <c r="B70" t="s">
        <v>2154</v>
      </c>
      <c r="C70">
        <v>120171913</v>
      </c>
      <c r="D70">
        <v>120171989</v>
      </c>
      <c r="E70" t="s">
        <v>2209</v>
      </c>
      <c r="G70" t="s">
        <v>2198</v>
      </c>
      <c r="H70" t="s">
        <v>1256</v>
      </c>
      <c r="I70" t="s">
        <v>2210</v>
      </c>
      <c r="J70" t="s">
        <v>2200</v>
      </c>
    </row>
    <row r="71" spans="1:13" x14ac:dyDescent="0.3">
      <c r="A71" t="s">
        <v>1988</v>
      </c>
      <c r="B71" t="s">
        <v>2087</v>
      </c>
      <c r="C71">
        <v>532861</v>
      </c>
      <c r="D71">
        <v>100315017</v>
      </c>
      <c r="E71" t="s">
        <v>1989</v>
      </c>
      <c r="F71" t="s">
        <v>2088</v>
      </c>
    </row>
    <row r="72" spans="1:13" x14ac:dyDescent="0.3">
      <c r="A72" t="s">
        <v>2151</v>
      </c>
      <c r="B72" t="s">
        <v>215</v>
      </c>
      <c r="C72">
        <v>7498610</v>
      </c>
      <c r="D72">
        <v>120171985</v>
      </c>
      <c r="E72" t="s">
        <v>2501</v>
      </c>
      <c r="G72" t="s">
        <v>2198</v>
      </c>
      <c r="H72" t="s">
        <v>2502</v>
      </c>
      <c r="I72" t="s">
        <v>2503</v>
      </c>
    </row>
    <row r="73" spans="1:13" x14ac:dyDescent="0.3">
      <c r="A73" t="s">
        <v>221</v>
      </c>
      <c r="B73" t="s">
        <v>222</v>
      </c>
      <c r="C73">
        <v>520170</v>
      </c>
      <c r="D73">
        <v>101361968</v>
      </c>
      <c r="E73" t="s">
        <v>223</v>
      </c>
      <c r="F73" t="s">
        <v>135</v>
      </c>
      <c r="G73" t="s">
        <v>224</v>
      </c>
      <c r="J73" s="13"/>
      <c r="K73" s="13"/>
      <c r="L73" s="13"/>
      <c r="M73" s="13"/>
    </row>
    <row r="74" spans="1:13" x14ac:dyDescent="0.3">
      <c r="A74" t="s">
        <v>868</v>
      </c>
      <c r="B74" t="s">
        <v>869</v>
      </c>
      <c r="C74">
        <v>7505489</v>
      </c>
      <c r="D74">
        <v>101389765</v>
      </c>
      <c r="E74" t="s">
        <v>870</v>
      </c>
      <c r="F74" t="s">
        <v>871</v>
      </c>
      <c r="G74" t="s">
        <v>872</v>
      </c>
      <c r="I74" t="s">
        <v>1131</v>
      </c>
      <c r="J74" t="s">
        <v>1132</v>
      </c>
    </row>
    <row r="75" spans="1:13" x14ac:dyDescent="0.3">
      <c r="A75" t="s">
        <v>240</v>
      </c>
      <c r="B75" t="s">
        <v>241</v>
      </c>
      <c r="C75">
        <v>7498612</v>
      </c>
      <c r="D75">
        <v>101362254</v>
      </c>
      <c r="E75" t="s">
        <v>242</v>
      </c>
      <c r="F75" t="s">
        <v>135</v>
      </c>
      <c r="G75" t="s">
        <v>243</v>
      </c>
      <c r="J75" s="13"/>
      <c r="K75" s="13"/>
      <c r="L75" s="13"/>
      <c r="M75" s="13"/>
    </row>
    <row r="76" spans="1:13" x14ac:dyDescent="0.3">
      <c r="A76" t="s">
        <v>2828</v>
      </c>
      <c r="B76" t="s">
        <v>2829</v>
      </c>
      <c r="C76">
        <v>120172476</v>
      </c>
      <c r="D76">
        <v>120172479</v>
      </c>
      <c r="E76" t="s">
        <v>2830</v>
      </c>
      <c r="H76" t="s">
        <v>2851</v>
      </c>
      <c r="I76" t="s">
        <v>2852</v>
      </c>
      <c r="J76" t="s">
        <v>2200</v>
      </c>
    </row>
    <row r="77" spans="1:13" x14ac:dyDescent="0.3">
      <c r="A77" s="13" t="s">
        <v>52</v>
      </c>
      <c r="B77" s="13" t="s">
        <v>53</v>
      </c>
      <c r="C77" s="13">
        <v>7410462</v>
      </c>
      <c r="D77" s="13">
        <v>100971157</v>
      </c>
      <c r="J77" s="13"/>
      <c r="K77" s="13"/>
      <c r="L77" s="13"/>
      <c r="M77" s="13"/>
    </row>
    <row r="78" spans="1:13" x14ac:dyDescent="0.3">
      <c r="A78" t="s">
        <v>2142</v>
      </c>
      <c r="B78" t="s">
        <v>2214</v>
      </c>
      <c r="C78">
        <v>120171914</v>
      </c>
      <c r="D78">
        <v>120171976</v>
      </c>
      <c r="E78" t="s">
        <v>2215</v>
      </c>
      <c r="G78" t="s">
        <v>2198</v>
      </c>
      <c r="H78" t="s">
        <v>1196</v>
      </c>
      <c r="I78" t="s">
        <v>2216</v>
      </c>
      <c r="J78" t="s">
        <v>2200</v>
      </c>
    </row>
    <row r="79" spans="1:13" x14ac:dyDescent="0.3">
      <c r="A79" t="s">
        <v>2011</v>
      </c>
      <c r="B79" t="s">
        <v>2017</v>
      </c>
      <c r="C79">
        <v>7463022</v>
      </c>
      <c r="D79">
        <v>120171249</v>
      </c>
      <c r="E79" t="s">
        <v>2018</v>
      </c>
      <c r="H79" s="15" t="str">
        <f>IF(ISBLANK(#REF!),"",IFERROR(LEFT(#REF!,SEARCH(" ",#REF!)-1),""))</f>
        <v/>
      </c>
      <c r="I79" s="15" t="str">
        <f>IF(ISBLANK(#REF!),"",IFERROR(RIGHT(#REF!,LEN(#REF!)-SEARCH(" ",#REF!)),""))</f>
        <v/>
      </c>
    </row>
    <row r="80" spans="1:13" x14ac:dyDescent="0.3">
      <c r="A80" s="13" t="s">
        <v>34</v>
      </c>
      <c r="B80" s="13" t="s">
        <v>35</v>
      </c>
      <c r="C80" s="13">
        <v>532264</v>
      </c>
      <c r="D80" s="13">
        <v>101225859</v>
      </c>
      <c r="J80" s="13"/>
      <c r="K80" s="13"/>
      <c r="L80" s="13"/>
      <c r="M80" s="13"/>
    </row>
    <row r="81" spans="1:13" x14ac:dyDescent="0.3">
      <c r="A81" t="s">
        <v>886</v>
      </c>
      <c r="B81" t="s">
        <v>887</v>
      </c>
      <c r="C81">
        <v>7411261</v>
      </c>
      <c r="D81">
        <v>100974302</v>
      </c>
      <c r="E81" t="s">
        <v>888</v>
      </c>
      <c r="F81" t="s">
        <v>135</v>
      </c>
      <c r="G81" t="s">
        <v>889</v>
      </c>
      <c r="I81" t="s">
        <v>1129</v>
      </c>
      <c r="J81" t="s">
        <v>1140</v>
      </c>
    </row>
    <row r="82" spans="1:13" x14ac:dyDescent="0.3">
      <c r="A82" t="s">
        <v>246</v>
      </c>
      <c r="B82" t="s">
        <v>247</v>
      </c>
      <c r="C82">
        <v>7498613</v>
      </c>
      <c r="D82">
        <v>101361984</v>
      </c>
      <c r="E82" t="s">
        <v>248</v>
      </c>
      <c r="F82" t="s">
        <v>135</v>
      </c>
      <c r="G82" t="s">
        <v>249</v>
      </c>
      <c r="J82" s="13"/>
      <c r="K82" s="13"/>
      <c r="L82" s="13"/>
      <c r="M82" s="13"/>
    </row>
    <row r="83" spans="1:13" x14ac:dyDescent="0.3">
      <c r="A83" s="13" t="s">
        <v>61</v>
      </c>
      <c r="B83" s="13" t="s">
        <v>62</v>
      </c>
      <c r="C83" s="13">
        <v>535466</v>
      </c>
      <c r="D83" s="13">
        <v>100926333</v>
      </c>
      <c r="J83" s="13"/>
      <c r="K83" s="13"/>
      <c r="L83" s="13"/>
      <c r="M83" s="13"/>
    </row>
    <row r="84" spans="1:13" x14ac:dyDescent="0.3">
      <c r="A84" t="s">
        <v>2531</v>
      </c>
      <c r="B84" t="s">
        <v>2139</v>
      </c>
      <c r="C84">
        <v>7498614</v>
      </c>
      <c r="D84">
        <v>101058786</v>
      </c>
      <c r="E84" t="s">
        <v>2532</v>
      </c>
      <c r="G84" t="s">
        <v>2198</v>
      </c>
      <c r="H84" t="s">
        <v>1113</v>
      </c>
      <c r="I84" t="s">
        <v>2533</v>
      </c>
      <c r="L84" t="s">
        <v>2534</v>
      </c>
    </row>
    <row r="85" spans="1:13" x14ac:dyDescent="0.3">
      <c r="A85" s="13" t="s">
        <v>19</v>
      </c>
      <c r="B85" s="13" t="s">
        <v>20</v>
      </c>
      <c r="C85" s="13">
        <v>530147</v>
      </c>
      <c r="D85" s="13">
        <v>101189841</v>
      </c>
      <c r="J85" s="13"/>
      <c r="K85" s="13"/>
      <c r="L85" s="13"/>
      <c r="M85" s="13"/>
    </row>
    <row r="86" spans="1:13" x14ac:dyDescent="0.3">
      <c r="A86" t="s">
        <v>2136</v>
      </c>
      <c r="B86" t="s">
        <v>2137</v>
      </c>
      <c r="C86">
        <v>120171922</v>
      </c>
      <c r="D86">
        <v>120171970</v>
      </c>
      <c r="E86" t="s">
        <v>2268</v>
      </c>
      <c r="G86" t="s">
        <v>2198</v>
      </c>
      <c r="H86" t="s">
        <v>2269</v>
      </c>
      <c r="I86" t="s">
        <v>2270</v>
      </c>
      <c r="J86" t="s">
        <v>2200</v>
      </c>
    </row>
    <row r="87" spans="1:13" x14ac:dyDescent="0.3">
      <c r="A87" t="s">
        <v>2134</v>
      </c>
      <c r="B87" t="s">
        <v>2135</v>
      </c>
      <c r="C87">
        <v>120171911</v>
      </c>
      <c r="D87">
        <v>120171969</v>
      </c>
      <c r="E87" t="s">
        <v>2203</v>
      </c>
      <c r="G87" t="s">
        <v>2198</v>
      </c>
      <c r="H87" t="s">
        <v>1261</v>
      </c>
      <c r="I87" t="s">
        <v>2204</v>
      </c>
      <c r="J87" t="s">
        <v>2200</v>
      </c>
    </row>
    <row r="88" spans="1:13" x14ac:dyDescent="0.3">
      <c r="A88" t="s">
        <v>814</v>
      </c>
      <c r="B88" t="s">
        <v>815</v>
      </c>
      <c r="C88">
        <v>7502785</v>
      </c>
      <c r="D88">
        <v>101378050</v>
      </c>
      <c r="E88" t="s">
        <v>816</v>
      </c>
      <c r="F88" t="s">
        <v>135</v>
      </c>
      <c r="G88" t="s">
        <v>817</v>
      </c>
      <c r="I88" t="s">
        <v>1089</v>
      </c>
      <c r="J88" t="s">
        <v>1090</v>
      </c>
    </row>
    <row r="89" spans="1:13" x14ac:dyDescent="0.3">
      <c r="A89" s="13" t="s">
        <v>108</v>
      </c>
      <c r="B89" s="13" t="s">
        <v>109</v>
      </c>
      <c r="C89" s="13">
        <v>7494139</v>
      </c>
      <c r="D89" s="13">
        <v>101342619</v>
      </c>
      <c r="J89" s="13"/>
      <c r="K89" s="13"/>
      <c r="L89" s="13"/>
      <c r="M89" s="13"/>
    </row>
    <row r="90" spans="1:13" x14ac:dyDescent="0.3">
      <c r="A90" t="s">
        <v>2131</v>
      </c>
      <c r="B90" t="s">
        <v>2132</v>
      </c>
      <c r="C90">
        <v>110000553</v>
      </c>
      <c r="D90">
        <v>120171967</v>
      </c>
      <c r="E90" t="s">
        <v>2313</v>
      </c>
      <c r="G90" t="s">
        <v>2198</v>
      </c>
      <c r="H90" t="s">
        <v>2314</v>
      </c>
      <c r="I90" t="s">
        <v>2315</v>
      </c>
    </row>
    <row r="91" spans="1:13" x14ac:dyDescent="0.3">
      <c r="A91" t="s">
        <v>2127</v>
      </c>
      <c r="B91" t="s">
        <v>2128</v>
      </c>
      <c r="C91">
        <v>120171921</v>
      </c>
      <c r="D91">
        <v>120171964</v>
      </c>
      <c r="E91" t="s">
        <v>2261</v>
      </c>
      <c r="G91" t="s">
        <v>2198</v>
      </c>
      <c r="H91" t="s">
        <v>1182</v>
      </c>
      <c r="I91" t="s">
        <v>1354</v>
      </c>
      <c r="J91" t="s">
        <v>2200</v>
      </c>
    </row>
    <row r="92" spans="1:13" x14ac:dyDescent="0.3">
      <c r="A92" t="s">
        <v>880</v>
      </c>
      <c r="B92" t="s">
        <v>881</v>
      </c>
      <c r="C92">
        <v>7500609</v>
      </c>
      <c r="D92">
        <v>101389327</v>
      </c>
      <c r="E92" t="s">
        <v>882</v>
      </c>
      <c r="F92" t="s">
        <v>135</v>
      </c>
      <c r="G92" t="s">
        <v>883</v>
      </c>
      <c r="I92" t="s">
        <v>1136</v>
      </c>
      <c r="J92" t="s">
        <v>1137</v>
      </c>
    </row>
    <row r="93" spans="1:13" x14ac:dyDescent="0.3">
      <c r="A93" t="s">
        <v>2124</v>
      </c>
      <c r="B93" t="s">
        <v>2220</v>
      </c>
      <c r="C93">
        <v>120171915</v>
      </c>
      <c r="D93">
        <v>120171961</v>
      </c>
      <c r="E93" t="s">
        <v>2221</v>
      </c>
      <c r="G93" t="s">
        <v>2198</v>
      </c>
      <c r="H93" t="s">
        <v>2222</v>
      </c>
      <c r="I93" t="s">
        <v>2223</v>
      </c>
      <c r="J93" t="s">
        <v>2200</v>
      </c>
    </row>
    <row r="94" spans="1:13" x14ac:dyDescent="0.3">
      <c r="A94" s="13" t="s">
        <v>119</v>
      </c>
      <c r="B94" s="13" t="s">
        <v>120</v>
      </c>
      <c r="C94" s="13">
        <v>7496125</v>
      </c>
      <c r="D94" s="13">
        <v>101352956</v>
      </c>
      <c r="J94" s="13"/>
      <c r="K94" s="13"/>
      <c r="L94" s="13"/>
      <c r="M94" s="13"/>
    </row>
    <row r="95" spans="1:13" x14ac:dyDescent="0.3">
      <c r="A95" t="s">
        <v>2121</v>
      </c>
      <c r="B95" t="s">
        <v>2404</v>
      </c>
      <c r="C95">
        <v>80135768</v>
      </c>
      <c r="D95">
        <v>120171958</v>
      </c>
      <c r="E95" t="s">
        <v>2405</v>
      </c>
      <c r="G95" t="s">
        <v>2198</v>
      </c>
      <c r="H95" t="s">
        <v>2406</v>
      </c>
      <c r="I95" t="s">
        <v>2407</v>
      </c>
    </row>
    <row r="96" spans="1:13" x14ac:dyDescent="0.3">
      <c r="A96" t="s">
        <v>1997</v>
      </c>
      <c r="B96" t="s">
        <v>1998</v>
      </c>
      <c r="C96">
        <v>524787</v>
      </c>
      <c r="D96">
        <v>120171893</v>
      </c>
      <c r="H96" s="15" t="str">
        <f>IF(ISBLANK(A96),"",IFERROR(LEFT(A96,SEARCH(" ",A96)-1),""))</f>
        <v>Robert</v>
      </c>
      <c r="I96" s="15" t="str">
        <f>IF(ISBLANK(A96),"",IFERROR(RIGHT(A96,LEN(A96)-SEARCH(" ",A96)),""))</f>
        <v>Morrison</v>
      </c>
    </row>
    <row r="97" spans="1:13" x14ac:dyDescent="0.3">
      <c r="A97" s="13" t="s">
        <v>82</v>
      </c>
      <c r="B97" s="13" t="s">
        <v>83</v>
      </c>
      <c r="C97" s="13">
        <v>7477481</v>
      </c>
      <c r="D97" s="13">
        <v>101252412</v>
      </c>
      <c r="J97" s="13"/>
      <c r="K97" s="13"/>
      <c r="L97" s="13"/>
      <c r="M97" s="13"/>
    </row>
    <row r="98" spans="1:13" x14ac:dyDescent="0.3">
      <c r="A98" s="13" t="s">
        <v>90</v>
      </c>
      <c r="B98" s="13" t="s">
        <v>91</v>
      </c>
      <c r="C98" s="13">
        <v>7492511</v>
      </c>
      <c r="D98" s="13">
        <v>101334626</v>
      </c>
      <c r="J98" s="13"/>
      <c r="K98" s="13"/>
      <c r="L98" s="13"/>
      <c r="M98" s="13"/>
    </row>
    <row r="99" spans="1:13" x14ac:dyDescent="0.3">
      <c r="A99" s="13" t="s">
        <v>31</v>
      </c>
      <c r="B99" s="13" t="s">
        <v>32</v>
      </c>
      <c r="C99" s="13">
        <v>7486286</v>
      </c>
      <c r="D99" s="13">
        <v>101294365</v>
      </c>
      <c r="J99" s="13"/>
      <c r="K99" s="13"/>
      <c r="L99" s="13"/>
      <c r="M99" s="13"/>
    </row>
    <row r="100" spans="1:13" x14ac:dyDescent="0.3">
      <c r="A100" t="s">
        <v>254</v>
      </c>
      <c r="B100" t="s">
        <v>255</v>
      </c>
      <c r="C100">
        <v>7483035</v>
      </c>
      <c r="D100">
        <v>101276638</v>
      </c>
      <c r="E100" t="s">
        <v>256</v>
      </c>
      <c r="F100" t="s">
        <v>135</v>
      </c>
      <c r="G100" t="s">
        <v>257</v>
      </c>
      <c r="J100" s="13"/>
      <c r="K100" s="13"/>
      <c r="L100" s="13"/>
      <c r="M100" s="13"/>
    </row>
    <row r="101" spans="1:13" x14ac:dyDescent="0.3">
      <c r="A101" t="s">
        <v>2933</v>
      </c>
      <c r="B101" t="s">
        <v>2934</v>
      </c>
      <c r="C101">
        <v>80107937</v>
      </c>
      <c r="D101">
        <v>120105520</v>
      </c>
      <c r="E101" t="s">
        <v>2935</v>
      </c>
      <c r="F101" t="s">
        <v>2936</v>
      </c>
      <c r="H101" t="s">
        <v>2515</v>
      </c>
      <c r="I101" t="s">
        <v>2938</v>
      </c>
      <c r="J101" t="s">
        <v>2200</v>
      </c>
      <c r="L101" t="s">
        <v>2432</v>
      </c>
      <c r="M101" t="s">
        <v>2939</v>
      </c>
    </row>
    <row r="102" spans="1:13" x14ac:dyDescent="0.3">
      <c r="A102" t="s">
        <v>2079</v>
      </c>
      <c r="B102" t="s">
        <v>2009</v>
      </c>
      <c r="C102">
        <v>120091794</v>
      </c>
      <c r="D102">
        <v>120091797</v>
      </c>
      <c r="E102" t="s">
        <v>2080</v>
      </c>
      <c r="H102" s="15" t="str">
        <f>IF(ISBLANK(A102),"",IFERROR(LEFT(A102,SEARCH(" ",A102)-1),""))</f>
        <v>John</v>
      </c>
      <c r="I102" s="15" t="str">
        <f>IF(ISBLANK(A102),"",IFERROR(RIGHT(A102,LEN(A102)-SEARCH(" ",A102)),""))</f>
        <v>Leatherman</v>
      </c>
    </row>
    <row r="103" spans="1:13" x14ac:dyDescent="0.3">
      <c r="A103" t="s">
        <v>2115</v>
      </c>
      <c r="B103" t="s">
        <v>2116</v>
      </c>
      <c r="C103">
        <v>528490</v>
      </c>
      <c r="D103">
        <v>120171952</v>
      </c>
      <c r="E103" t="s">
        <v>2447</v>
      </c>
      <c r="G103" t="s">
        <v>2386</v>
      </c>
      <c r="H103" t="s">
        <v>2448</v>
      </c>
      <c r="I103" t="s">
        <v>2449</v>
      </c>
    </row>
    <row r="104" spans="1:13" x14ac:dyDescent="0.3">
      <c r="A104" s="13" t="s">
        <v>88</v>
      </c>
      <c r="B104" s="13" t="s">
        <v>89</v>
      </c>
      <c r="C104" s="13">
        <v>7483886</v>
      </c>
      <c r="D104" s="13">
        <v>101281230</v>
      </c>
      <c r="J104" s="13"/>
      <c r="K104" s="13"/>
      <c r="L104" s="13"/>
      <c r="M104" s="13"/>
    </row>
    <row r="105" spans="1:13" x14ac:dyDescent="0.3">
      <c r="A105" t="s">
        <v>2113</v>
      </c>
      <c r="B105" t="s">
        <v>2288</v>
      </c>
      <c r="C105">
        <v>529816</v>
      </c>
      <c r="D105">
        <v>120171950</v>
      </c>
      <c r="E105" t="s">
        <v>2289</v>
      </c>
      <c r="G105" t="s">
        <v>2198</v>
      </c>
      <c r="H105" t="s">
        <v>1171</v>
      </c>
      <c r="I105" t="s">
        <v>2290</v>
      </c>
      <c r="J105" t="s">
        <v>2200</v>
      </c>
    </row>
    <row r="106" spans="1:13" x14ac:dyDescent="0.3">
      <c r="A106" t="s">
        <v>2111</v>
      </c>
      <c r="B106" t="s">
        <v>2112</v>
      </c>
      <c r="C106">
        <v>120171920</v>
      </c>
      <c r="D106">
        <v>120171899</v>
      </c>
      <c r="E106" t="s">
        <v>2258</v>
      </c>
      <c r="G106" t="s">
        <v>2198</v>
      </c>
      <c r="H106" t="s">
        <v>2259</v>
      </c>
      <c r="I106" t="s">
        <v>2260</v>
      </c>
      <c r="J106" t="s">
        <v>2200</v>
      </c>
    </row>
    <row r="107" spans="1:13" x14ac:dyDescent="0.3">
      <c r="A107" t="s">
        <v>344</v>
      </c>
      <c r="B107" t="s">
        <v>345</v>
      </c>
      <c r="C107">
        <v>7500610</v>
      </c>
      <c r="D107">
        <v>101369222</v>
      </c>
      <c r="E107" t="s">
        <v>346</v>
      </c>
      <c r="F107" t="s">
        <v>135</v>
      </c>
      <c r="G107" t="s">
        <v>347</v>
      </c>
      <c r="J107" s="13"/>
      <c r="K107" s="13"/>
      <c r="L107" s="13"/>
      <c r="M107" s="13"/>
    </row>
    <row r="108" spans="1:13" x14ac:dyDescent="0.3">
      <c r="A108" t="s">
        <v>2109</v>
      </c>
      <c r="B108" t="s">
        <v>2107</v>
      </c>
      <c r="C108">
        <v>120171919</v>
      </c>
      <c r="D108">
        <v>120171897</v>
      </c>
      <c r="E108" t="s">
        <v>2247</v>
      </c>
      <c r="G108" t="s">
        <v>2198</v>
      </c>
      <c r="H108" t="s">
        <v>73</v>
      </c>
      <c r="I108" t="s">
        <v>2248</v>
      </c>
      <c r="J108" t="s">
        <v>2200</v>
      </c>
    </row>
    <row r="109" spans="1:13" x14ac:dyDescent="0.3">
      <c r="A109" s="13" t="s">
        <v>116</v>
      </c>
      <c r="B109" s="13" t="s">
        <v>117</v>
      </c>
      <c r="C109" s="13">
        <v>7496107</v>
      </c>
      <c r="D109" s="13">
        <v>101352948</v>
      </c>
      <c r="J109" s="13"/>
      <c r="K109" s="13"/>
      <c r="L109" s="13"/>
      <c r="M109" s="13"/>
    </row>
    <row r="110" spans="1:13" x14ac:dyDescent="0.3">
      <c r="A110" t="s">
        <v>1072</v>
      </c>
      <c r="B110" t="s">
        <v>1073</v>
      </c>
      <c r="C110">
        <v>110003378</v>
      </c>
      <c r="D110">
        <v>101413760</v>
      </c>
      <c r="E110" t="s">
        <v>1074</v>
      </c>
      <c r="F110" t="s">
        <v>135</v>
      </c>
      <c r="G110" t="s">
        <v>1075</v>
      </c>
      <c r="H110" s="15" t="str">
        <f>IF(ISBLANK(A110),"",IFERROR(LEFT(A110,SEARCH(" ",A110)-1),""))</f>
        <v>Anthony</v>
      </c>
      <c r="I110" s="15" t="str">
        <f>IF(ISBLANK(A110),"",IFERROR(RIGHT(A110,LEN(A110)-SEARCH(" ",A110)),""))</f>
        <v>Dillson</v>
      </c>
    </row>
    <row r="111" spans="1:13" x14ac:dyDescent="0.3">
      <c r="A111" t="s">
        <v>916</v>
      </c>
      <c r="B111" t="s">
        <v>917</v>
      </c>
      <c r="C111" t="s">
        <v>918</v>
      </c>
      <c r="D111">
        <v>101400049</v>
      </c>
      <c r="E111" t="s">
        <v>135</v>
      </c>
      <c r="F111" t="s">
        <v>135</v>
      </c>
      <c r="G111" t="s">
        <v>919</v>
      </c>
      <c r="I111" t="s">
        <v>1146</v>
      </c>
      <c r="J111" t="s">
        <v>1160</v>
      </c>
    </row>
    <row r="112" spans="1:13" x14ac:dyDescent="0.3">
      <c r="A112" s="13" t="s">
        <v>123</v>
      </c>
      <c r="B112" s="13" t="s">
        <v>124</v>
      </c>
      <c r="C112" s="13">
        <v>526424</v>
      </c>
      <c r="D112" s="13">
        <v>101213521</v>
      </c>
      <c r="J112" s="13"/>
      <c r="K112" s="13"/>
      <c r="L112" s="13"/>
      <c r="M112" s="13"/>
    </row>
    <row r="113" spans="1:13" x14ac:dyDescent="0.3">
      <c r="A113" s="13" t="s">
        <v>79</v>
      </c>
      <c r="B113" s="13" t="s">
        <v>80</v>
      </c>
      <c r="C113" s="13">
        <v>7488915</v>
      </c>
      <c r="D113" s="13">
        <v>101317938</v>
      </c>
      <c r="J113" s="13"/>
      <c r="K113" s="13"/>
      <c r="L113" s="13"/>
      <c r="M113" s="13"/>
    </row>
    <row r="114" spans="1:13" x14ac:dyDescent="0.3">
      <c r="A114" t="s">
        <v>498</v>
      </c>
      <c r="B114" t="s">
        <v>499</v>
      </c>
      <c r="C114">
        <v>70050001</v>
      </c>
      <c r="D114">
        <v>101016444</v>
      </c>
      <c r="E114" t="s">
        <v>500</v>
      </c>
      <c r="F114" t="s">
        <v>135</v>
      </c>
      <c r="G114" t="s">
        <v>501</v>
      </c>
    </row>
    <row r="115" spans="1:13" x14ac:dyDescent="0.3">
      <c r="A115" t="s">
        <v>861</v>
      </c>
      <c r="B115" t="s">
        <v>862</v>
      </c>
      <c r="C115">
        <v>7504883</v>
      </c>
      <c r="D115">
        <v>101387386</v>
      </c>
      <c r="E115" t="s">
        <v>863</v>
      </c>
      <c r="F115" t="s">
        <v>135</v>
      </c>
      <c r="G115" t="s">
        <v>864</v>
      </c>
      <c r="I115" t="s">
        <v>1125</v>
      </c>
      <c r="J115" t="s">
        <v>1126</v>
      </c>
    </row>
    <row r="116" spans="1:13" x14ac:dyDescent="0.3">
      <c r="A116" t="s">
        <v>2542</v>
      </c>
      <c r="B116" t="s">
        <v>2105</v>
      </c>
      <c r="C116">
        <v>7498617</v>
      </c>
      <c r="D116">
        <v>120171894</v>
      </c>
      <c r="E116" t="s">
        <v>2543</v>
      </c>
      <c r="G116" t="s">
        <v>2198</v>
      </c>
      <c r="H116" t="s">
        <v>1141</v>
      </c>
      <c r="I116" t="s">
        <v>2544</v>
      </c>
    </row>
    <row r="117" spans="1:13" x14ac:dyDescent="0.3">
      <c r="A117" s="13" t="s">
        <v>67</v>
      </c>
      <c r="B117" s="13" t="s">
        <v>68</v>
      </c>
      <c r="C117" s="13">
        <v>7477816</v>
      </c>
      <c r="D117" s="13">
        <v>101253650</v>
      </c>
      <c r="J117" s="13"/>
      <c r="K117" s="13"/>
      <c r="L117" s="13"/>
      <c r="M117" s="13"/>
    </row>
    <row r="118" spans="1:13" x14ac:dyDescent="0.3">
      <c r="A118" t="s">
        <v>2979</v>
      </c>
      <c r="B118" t="s">
        <v>2980</v>
      </c>
      <c r="C118">
        <v>7468017</v>
      </c>
      <c r="D118">
        <v>120172608</v>
      </c>
      <c r="E118" t="s">
        <v>2981</v>
      </c>
      <c r="G118" t="s">
        <v>2198</v>
      </c>
      <c r="H118" t="s">
        <v>2982</v>
      </c>
      <c r="I118" t="s">
        <v>2983</v>
      </c>
    </row>
    <row r="119" spans="1:13" x14ac:dyDescent="0.3">
      <c r="A119" t="s">
        <v>1952</v>
      </c>
      <c r="C119" s="9">
        <v>120168754</v>
      </c>
      <c r="D119" s="9" t="s">
        <v>1956</v>
      </c>
      <c r="E119" t="s">
        <v>1955</v>
      </c>
      <c r="H119" s="15" t="str">
        <f>IF(ISBLANK(A119),"",IFERROR(LEFT(A119,SEARCH(" ",A119)-1),""))</f>
        <v>Jeremy</v>
      </c>
      <c r="I119" s="15" t="str">
        <f>IF(ISBLANK(A119),"",IFERROR(RIGHT(A119,LEN(A119)-SEARCH(" ",A119)),""))</f>
        <v>Bracknell</v>
      </c>
    </row>
    <row r="120" spans="1:13" x14ac:dyDescent="0.3">
      <c r="A120" t="s">
        <v>4147</v>
      </c>
      <c r="B120" t="s">
        <v>4148</v>
      </c>
      <c r="C120">
        <v>120045202</v>
      </c>
      <c r="D120">
        <v>120045203</v>
      </c>
      <c r="E120" t="s">
        <v>4149</v>
      </c>
      <c r="G120" t="s">
        <v>2198</v>
      </c>
      <c r="H120" t="s">
        <v>1127</v>
      </c>
      <c r="I120" t="s">
        <v>4150</v>
      </c>
      <c r="J120" t="s">
        <v>4151</v>
      </c>
      <c r="L120" t="s">
        <v>4152</v>
      </c>
      <c r="M120" t="s">
        <v>4153</v>
      </c>
    </row>
    <row r="121" spans="1:13" x14ac:dyDescent="0.3">
      <c r="A121" t="s">
        <v>4169</v>
      </c>
      <c r="B121" t="s">
        <v>4170</v>
      </c>
      <c r="C121">
        <v>533143</v>
      </c>
      <c r="D121">
        <v>100747021</v>
      </c>
      <c r="E121" t="s">
        <v>4171</v>
      </c>
      <c r="G121" t="s">
        <v>2386</v>
      </c>
      <c r="H121" t="s">
        <v>4172</v>
      </c>
      <c r="I121" t="s">
        <v>4173</v>
      </c>
      <c r="M121" t="s">
        <v>4174</v>
      </c>
    </row>
    <row r="122" spans="1:13" x14ac:dyDescent="0.3">
      <c r="A122" t="s">
        <v>4231</v>
      </c>
      <c r="B122" t="s">
        <v>4232</v>
      </c>
      <c r="C122">
        <v>80115240</v>
      </c>
      <c r="D122">
        <v>120210005</v>
      </c>
      <c r="E122" t="s">
        <v>4233</v>
      </c>
      <c r="G122" t="s">
        <v>2198</v>
      </c>
      <c r="H122" t="s">
        <v>2382</v>
      </c>
      <c r="I122" t="s">
        <v>4234</v>
      </c>
      <c r="J122" t="s">
        <v>2200</v>
      </c>
    </row>
    <row r="123" spans="1:13" x14ac:dyDescent="0.3">
      <c r="A123" t="s">
        <v>4237</v>
      </c>
      <c r="B123" t="s">
        <v>4238</v>
      </c>
      <c r="C123">
        <v>120095274</v>
      </c>
      <c r="D123">
        <v>120095275</v>
      </c>
      <c r="E123" t="s">
        <v>4239</v>
      </c>
      <c r="G123" t="s">
        <v>2198</v>
      </c>
      <c r="H123" t="s">
        <v>4240</v>
      </c>
      <c r="I123" t="s">
        <v>4241</v>
      </c>
      <c r="L123" t="s">
        <v>4242</v>
      </c>
      <c r="M123" t="s">
        <v>4243</v>
      </c>
    </row>
    <row r="124" spans="1:13" x14ac:dyDescent="0.3">
      <c r="A124" t="s">
        <v>4249</v>
      </c>
      <c r="B124" t="s">
        <v>4250</v>
      </c>
      <c r="C124">
        <v>535981</v>
      </c>
      <c r="D124">
        <v>101131961</v>
      </c>
      <c r="E124" t="s">
        <v>4251</v>
      </c>
      <c r="G124" t="s">
        <v>2198</v>
      </c>
      <c r="H124" t="s">
        <v>1161</v>
      </c>
      <c r="I124" t="s">
        <v>4252</v>
      </c>
    </row>
    <row r="125" spans="1:13" x14ac:dyDescent="0.3">
      <c r="A125" t="s">
        <v>3889</v>
      </c>
      <c r="B125" t="s">
        <v>3336</v>
      </c>
      <c r="C125">
        <v>120191158</v>
      </c>
      <c r="D125">
        <v>120191302</v>
      </c>
      <c r="E125" t="s">
        <v>3463</v>
      </c>
      <c r="G125" t="s">
        <v>2198</v>
      </c>
      <c r="H125" t="s">
        <v>3211</v>
      </c>
      <c r="I125" t="s">
        <v>3212</v>
      </c>
      <c r="L125" t="s">
        <v>4012</v>
      </c>
      <c r="M125" t="s">
        <v>4274</v>
      </c>
    </row>
    <row r="126" spans="1:13" x14ac:dyDescent="0.3">
      <c r="A126" t="s">
        <v>4277</v>
      </c>
      <c r="B126" t="s">
        <v>4278</v>
      </c>
      <c r="C126">
        <v>527161</v>
      </c>
      <c r="D126">
        <v>120210008</v>
      </c>
      <c r="E126" t="s">
        <v>4279</v>
      </c>
      <c r="G126" t="s">
        <v>2198</v>
      </c>
      <c r="H126" t="s">
        <v>1143</v>
      </c>
      <c r="I126" t="s">
        <v>2326</v>
      </c>
      <c r="J126" t="s">
        <v>2200</v>
      </c>
    </row>
    <row r="127" spans="1:13" x14ac:dyDescent="0.3">
      <c r="A127" t="s">
        <v>4343</v>
      </c>
      <c r="B127" t="s">
        <v>4344</v>
      </c>
      <c r="C127">
        <v>510794</v>
      </c>
      <c r="D127">
        <v>100729036</v>
      </c>
      <c r="G127" t="s">
        <v>2198</v>
      </c>
      <c r="H127" t="s">
        <v>4345</v>
      </c>
      <c r="I127" t="s">
        <v>4346</v>
      </c>
      <c r="K127" t="s">
        <v>2431</v>
      </c>
      <c r="M127" t="s">
        <v>4347</v>
      </c>
    </row>
    <row r="128" spans="1:13" x14ac:dyDescent="0.3">
      <c r="A128" t="s">
        <v>4425</v>
      </c>
      <c r="B128" t="s">
        <v>4426</v>
      </c>
      <c r="C128">
        <v>120116679</v>
      </c>
      <c r="D128">
        <v>120116720</v>
      </c>
      <c r="E128" t="s">
        <v>4427</v>
      </c>
      <c r="G128" t="s">
        <v>2198</v>
      </c>
      <c r="H128" t="s">
        <v>1129</v>
      </c>
      <c r="I128" t="s">
        <v>4428</v>
      </c>
      <c r="M128" t="s">
        <v>4429</v>
      </c>
    </row>
    <row r="129" spans="1:13" x14ac:dyDescent="0.3">
      <c r="A129" t="s">
        <v>4433</v>
      </c>
      <c r="B129" t="s">
        <v>4434</v>
      </c>
      <c r="C129">
        <v>120206934</v>
      </c>
      <c r="D129">
        <v>120206935</v>
      </c>
      <c r="E129" t="s">
        <v>4435</v>
      </c>
      <c r="F129" t="s">
        <v>4436</v>
      </c>
      <c r="G129" t="s">
        <v>2198</v>
      </c>
      <c r="H129" t="s">
        <v>2639</v>
      </c>
      <c r="I129" t="s">
        <v>4312</v>
      </c>
      <c r="L129" t="s">
        <v>4270</v>
      </c>
      <c r="M129" t="s">
        <v>4437</v>
      </c>
    </row>
    <row r="130" spans="1:13" x14ac:dyDescent="0.3">
      <c r="A130" t="s">
        <v>4556</v>
      </c>
      <c r="B130" t="s">
        <v>4426</v>
      </c>
      <c r="C130">
        <v>535258</v>
      </c>
      <c r="D130">
        <v>120171579</v>
      </c>
      <c r="G130" t="s">
        <v>2198</v>
      </c>
      <c r="H130" t="s">
        <v>1129</v>
      </c>
      <c r="I130" t="s">
        <v>4557</v>
      </c>
      <c r="M130" t="s">
        <v>4558</v>
      </c>
    </row>
    <row r="131" spans="1:13" x14ac:dyDescent="0.3">
      <c r="A131" t="s">
        <v>4593</v>
      </c>
      <c r="B131" t="s">
        <v>4594</v>
      </c>
      <c r="C131">
        <v>7464171</v>
      </c>
      <c r="D131">
        <v>120111877</v>
      </c>
      <c r="E131" t="s">
        <v>4595</v>
      </c>
      <c r="G131" t="s">
        <v>2198</v>
      </c>
      <c r="H131" t="s">
        <v>4596</v>
      </c>
      <c r="I131" t="s">
        <v>3296</v>
      </c>
      <c r="M131" t="s">
        <v>4597</v>
      </c>
    </row>
    <row r="132" spans="1:13" x14ac:dyDescent="0.3">
      <c r="A132" t="s">
        <v>125</v>
      </c>
      <c r="B132" t="s">
        <v>4600</v>
      </c>
      <c r="C132">
        <v>120211955</v>
      </c>
      <c r="D132">
        <v>120211956</v>
      </c>
      <c r="E132" t="s">
        <v>4601</v>
      </c>
      <c r="G132" t="s">
        <v>2198</v>
      </c>
      <c r="H132" t="s">
        <v>1133</v>
      </c>
      <c r="I132" t="s">
        <v>4602</v>
      </c>
      <c r="J132" t="s">
        <v>2898</v>
      </c>
      <c r="L132" t="s">
        <v>4603</v>
      </c>
    </row>
    <row r="133" spans="1:13" x14ac:dyDescent="0.3">
      <c r="A133" t="s">
        <v>4559</v>
      </c>
      <c r="B133" t="s">
        <v>4619</v>
      </c>
      <c r="C133">
        <v>120211967</v>
      </c>
      <c r="D133">
        <v>120211668</v>
      </c>
      <c r="E133" t="s">
        <v>4620</v>
      </c>
      <c r="F133" t="s">
        <v>4621</v>
      </c>
      <c r="G133" t="s">
        <v>2198</v>
      </c>
      <c r="H133" t="s">
        <v>4561</v>
      </c>
      <c r="I133" t="s">
        <v>3102</v>
      </c>
      <c r="J133" t="s">
        <v>4151</v>
      </c>
    </row>
  </sheetData>
  <protectedRanges>
    <protectedRange sqref="A2:G123" name="Range1_1_1"/>
  </protectedRanges>
  <conditionalFormatting sqref="E1:E133">
    <cfRule type="duplicateValues" dxfId="2" priority="3"/>
  </conditionalFormatting>
  <conditionalFormatting sqref="D1:D133">
    <cfRule type="duplicateValues" dxfId="1" priority="1"/>
  </conditionalFormatting>
  <conditionalFormatting sqref="D1:D133">
    <cfRule type="duplicateValues" dxfId="0" priority="4"/>
  </conditionalFormatting>
  <dataValidations count="1">
    <dataValidation type="list" allowBlank="1" showDropDown="1" showInputMessage="1" showErrorMessage="1" sqref="A1:D1" xr:uid="{21DF9108-D667-4654-89EB-5E688BA44E92}">
      <formula1>"wago1"</formula1>
    </dataValidation>
  </dataValidations>
  <hyperlinks>
    <hyperlink ref="E25" r:id="rId1" xr:uid="{5939FE0F-8B0E-4F5B-BB4F-EC94F5C50296}"/>
    <hyperlink ref="E64" r:id="rId2" xr:uid="{187B86F0-21F7-48D8-91C8-2F8B42951F45}"/>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89A595-83A9-4346-B2DF-AC237335BDCF}">
  <dimension ref="A1:C131"/>
  <sheetViews>
    <sheetView workbookViewId="0">
      <selection activeCell="C131" sqref="C1:C131"/>
    </sheetView>
  </sheetViews>
  <sheetFormatPr defaultRowHeight="14.4" x14ac:dyDescent="0.3"/>
  <sheetData>
    <row r="1" spans="1:3" x14ac:dyDescent="0.3">
      <c r="A1">
        <v>507143</v>
      </c>
      <c r="B1" t="s">
        <v>4626</v>
      </c>
      <c r="C1" t="str">
        <f>_xlfn.CONCAT(A1:B1)</f>
        <v>507143,</v>
      </c>
    </row>
    <row r="2" spans="1:3" x14ac:dyDescent="0.3">
      <c r="A2">
        <v>7460691</v>
      </c>
      <c r="B2" t="s">
        <v>4626</v>
      </c>
      <c r="C2" t="str">
        <f t="shared" ref="C2:C65" si="0">_xlfn.CONCAT(A2:B2)</f>
        <v>7460691,</v>
      </c>
    </row>
    <row r="3" spans="1:3" x14ac:dyDescent="0.3">
      <c r="A3">
        <v>7463020</v>
      </c>
      <c r="B3" t="s">
        <v>4626</v>
      </c>
      <c r="C3" t="str">
        <f t="shared" si="0"/>
        <v>7463020,</v>
      </c>
    </row>
    <row r="4" spans="1:3" x14ac:dyDescent="0.3">
      <c r="A4">
        <v>7467067</v>
      </c>
      <c r="B4" t="s">
        <v>4626</v>
      </c>
      <c r="C4" t="str">
        <f t="shared" si="0"/>
        <v>7467067,</v>
      </c>
    </row>
    <row r="5" spans="1:3" x14ac:dyDescent="0.3">
      <c r="A5">
        <v>7498595</v>
      </c>
      <c r="B5" t="s">
        <v>4626</v>
      </c>
      <c r="C5" t="str">
        <f t="shared" si="0"/>
        <v>7498595,</v>
      </c>
    </row>
    <row r="6" spans="1:3" x14ac:dyDescent="0.3">
      <c r="A6">
        <v>120171916</v>
      </c>
      <c r="B6" t="s">
        <v>4626</v>
      </c>
      <c r="C6" t="str">
        <f t="shared" si="0"/>
        <v>120171916,</v>
      </c>
    </row>
    <row r="7" spans="1:3" x14ac:dyDescent="0.3">
      <c r="A7">
        <v>518250</v>
      </c>
      <c r="B7" t="s">
        <v>4626</v>
      </c>
      <c r="C7" t="str">
        <f t="shared" si="0"/>
        <v>518250,</v>
      </c>
    </row>
    <row r="8" spans="1:3" x14ac:dyDescent="0.3">
      <c r="A8">
        <v>120171917</v>
      </c>
      <c r="B8" t="s">
        <v>4626</v>
      </c>
      <c r="C8" t="str">
        <f t="shared" si="0"/>
        <v>120171917,</v>
      </c>
    </row>
    <row r="9" spans="1:3" x14ac:dyDescent="0.3">
      <c r="A9">
        <v>110006112</v>
      </c>
      <c r="B9" t="s">
        <v>4626</v>
      </c>
      <c r="C9" t="str">
        <f t="shared" si="0"/>
        <v>110006112,</v>
      </c>
    </row>
    <row r="10" spans="1:3" x14ac:dyDescent="0.3">
      <c r="A10">
        <v>508073</v>
      </c>
      <c r="B10" t="s">
        <v>4626</v>
      </c>
      <c r="C10" t="str">
        <f t="shared" si="0"/>
        <v>508073,</v>
      </c>
    </row>
    <row r="11" spans="1:3" x14ac:dyDescent="0.3">
      <c r="A11">
        <v>120096404</v>
      </c>
      <c r="B11" t="s">
        <v>4626</v>
      </c>
      <c r="C11" t="str">
        <f t="shared" si="0"/>
        <v>120096404,</v>
      </c>
    </row>
    <row r="12" spans="1:3" x14ac:dyDescent="0.3">
      <c r="A12">
        <v>7438426</v>
      </c>
      <c r="B12" t="s">
        <v>4626</v>
      </c>
      <c r="C12" t="str">
        <f t="shared" si="0"/>
        <v>7438426,</v>
      </c>
    </row>
    <row r="13" spans="1:3" x14ac:dyDescent="0.3">
      <c r="A13">
        <v>532258</v>
      </c>
      <c r="B13" t="s">
        <v>4626</v>
      </c>
      <c r="C13" t="str">
        <f t="shared" si="0"/>
        <v>532258,</v>
      </c>
    </row>
    <row r="14" spans="1:3" x14ac:dyDescent="0.3">
      <c r="A14">
        <v>7493671</v>
      </c>
      <c r="B14" t="s">
        <v>4626</v>
      </c>
      <c r="C14" t="str">
        <f t="shared" si="0"/>
        <v>7493671,</v>
      </c>
    </row>
    <row r="15" spans="1:3" x14ac:dyDescent="0.3">
      <c r="A15">
        <v>522371</v>
      </c>
      <c r="B15" t="s">
        <v>4626</v>
      </c>
      <c r="C15" t="str">
        <f t="shared" si="0"/>
        <v>522371,</v>
      </c>
    </row>
    <row r="16" spans="1:3" x14ac:dyDescent="0.3">
      <c r="A16">
        <v>502003</v>
      </c>
      <c r="B16" t="s">
        <v>4626</v>
      </c>
      <c r="C16" t="str">
        <f t="shared" si="0"/>
        <v>502003,</v>
      </c>
    </row>
    <row r="17" spans="1:3" x14ac:dyDescent="0.3">
      <c r="A17">
        <v>120106141</v>
      </c>
      <c r="B17" t="s">
        <v>4626</v>
      </c>
      <c r="C17" t="str">
        <f t="shared" si="0"/>
        <v>120106141,</v>
      </c>
    </row>
    <row r="18" spans="1:3" x14ac:dyDescent="0.3">
      <c r="A18">
        <v>110005399</v>
      </c>
      <c r="B18" t="s">
        <v>4626</v>
      </c>
      <c r="C18" t="str">
        <f t="shared" si="0"/>
        <v>110005399,</v>
      </c>
    </row>
    <row r="19" spans="1:3" x14ac:dyDescent="0.3">
      <c r="A19">
        <v>7498596</v>
      </c>
      <c r="B19" t="s">
        <v>4626</v>
      </c>
      <c r="C19" t="str">
        <f t="shared" si="0"/>
        <v>7498596,</v>
      </c>
    </row>
    <row r="20" spans="1:3" x14ac:dyDescent="0.3">
      <c r="A20">
        <v>7480788</v>
      </c>
      <c r="B20" t="s">
        <v>4626</v>
      </c>
      <c r="C20" t="str">
        <f t="shared" si="0"/>
        <v>7480788,</v>
      </c>
    </row>
    <row r="21" spans="1:3" x14ac:dyDescent="0.3">
      <c r="A21">
        <v>7478385</v>
      </c>
      <c r="B21" t="s">
        <v>4626</v>
      </c>
      <c r="C21" t="str">
        <f t="shared" si="0"/>
        <v>7478385,</v>
      </c>
    </row>
    <row r="22" spans="1:3" x14ac:dyDescent="0.3">
      <c r="A22">
        <v>534217</v>
      </c>
      <c r="B22" t="s">
        <v>4626</v>
      </c>
      <c r="C22" t="str">
        <f t="shared" si="0"/>
        <v>534217,</v>
      </c>
    </row>
    <row r="23" spans="1:3" x14ac:dyDescent="0.3">
      <c r="A23">
        <v>7498597</v>
      </c>
      <c r="B23" t="s">
        <v>4626</v>
      </c>
      <c r="C23" t="str">
        <f t="shared" si="0"/>
        <v>7498597,</v>
      </c>
    </row>
    <row r="24" spans="1:3" x14ac:dyDescent="0.3">
      <c r="A24">
        <v>519831</v>
      </c>
      <c r="B24" t="s">
        <v>4626</v>
      </c>
      <c r="C24" t="str">
        <f t="shared" si="0"/>
        <v>519831,</v>
      </c>
    </row>
    <row r="25" spans="1:3" x14ac:dyDescent="0.3">
      <c r="A25">
        <v>120171918</v>
      </c>
      <c r="B25" t="s">
        <v>4626</v>
      </c>
      <c r="C25" t="str">
        <f t="shared" si="0"/>
        <v>120171918,</v>
      </c>
    </row>
    <row r="26" spans="1:3" x14ac:dyDescent="0.3">
      <c r="A26">
        <v>7498601</v>
      </c>
      <c r="B26" t="s">
        <v>4626</v>
      </c>
      <c r="C26" t="str">
        <f t="shared" si="0"/>
        <v>7498601,</v>
      </c>
    </row>
    <row r="27" spans="1:3" x14ac:dyDescent="0.3">
      <c r="A27">
        <v>120141398</v>
      </c>
      <c r="B27" t="s">
        <v>4626</v>
      </c>
      <c r="C27" t="str">
        <f t="shared" si="0"/>
        <v>120141398,</v>
      </c>
    </row>
    <row r="28" spans="1:3" x14ac:dyDescent="0.3">
      <c r="A28">
        <v>110010046</v>
      </c>
      <c r="B28" t="s">
        <v>4626</v>
      </c>
      <c r="C28" t="str">
        <f t="shared" si="0"/>
        <v>110010046,</v>
      </c>
    </row>
    <row r="29" spans="1:3" x14ac:dyDescent="0.3">
      <c r="A29">
        <v>7470025</v>
      </c>
      <c r="B29" t="s">
        <v>4626</v>
      </c>
      <c r="C29" t="str">
        <f t="shared" si="0"/>
        <v>7470025,</v>
      </c>
    </row>
    <row r="30" spans="1:3" x14ac:dyDescent="0.3">
      <c r="A30">
        <v>7435262</v>
      </c>
      <c r="B30" t="s">
        <v>4626</v>
      </c>
      <c r="C30" t="str">
        <f t="shared" si="0"/>
        <v>7435262,</v>
      </c>
    </row>
    <row r="31" spans="1:3" x14ac:dyDescent="0.3">
      <c r="A31">
        <v>7458973</v>
      </c>
      <c r="B31" t="s">
        <v>4626</v>
      </c>
      <c r="C31" t="str">
        <f t="shared" si="0"/>
        <v>7458973,</v>
      </c>
    </row>
    <row r="32" spans="1:3" x14ac:dyDescent="0.3">
      <c r="A32">
        <v>120171844</v>
      </c>
      <c r="B32" t="s">
        <v>4626</v>
      </c>
      <c r="C32" t="str">
        <f t="shared" si="0"/>
        <v>120171844,</v>
      </c>
    </row>
    <row r="33" spans="1:3" x14ac:dyDescent="0.3">
      <c r="A33">
        <v>516773</v>
      </c>
      <c r="B33" t="s">
        <v>4626</v>
      </c>
      <c r="C33" t="str">
        <f t="shared" si="0"/>
        <v>516773,</v>
      </c>
    </row>
    <row r="34" spans="1:3" x14ac:dyDescent="0.3">
      <c r="A34">
        <v>7494137</v>
      </c>
      <c r="B34" t="s">
        <v>4626</v>
      </c>
      <c r="C34" t="str">
        <f t="shared" si="0"/>
        <v>7494137,</v>
      </c>
    </row>
    <row r="35" spans="1:3" x14ac:dyDescent="0.3">
      <c r="A35">
        <v>7487916</v>
      </c>
      <c r="B35" t="s">
        <v>4626</v>
      </c>
      <c r="C35" t="str">
        <f t="shared" si="0"/>
        <v>7487916,</v>
      </c>
    </row>
    <row r="36" spans="1:3" x14ac:dyDescent="0.3">
      <c r="A36">
        <v>514380</v>
      </c>
      <c r="B36" t="s">
        <v>4626</v>
      </c>
      <c r="C36" t="str">
        <f t="shared" si="0"/>
        <v>514380,</v>
      </c>
    </row>
    <row r="37" spans="1:3" x14ac:dyDescent="0.3">
      <c r="A37">
        <v>518728</v>
      </c>
      <c r="B37" t="s">
        <v>4626</v>
      </c>
      <c r="C37" t="str">
        <f t="shared" si="0"/>
        <v>518728,</v>
      </c>
    </row>
    <row r="38" spans="1:3" x14ac:dyDescent="0.3">
      <c r="A38">
        <v>120171926</v>
      </c>
      <c r="B38" t="s">
        <v>4626</v>
      </c>
      <c r="C38" t="str">
        <f t="shared" si="0"/>
        <v>120171926,</v>
      </c>
    </row>
    <row r="39" spans="1:3" x14ac:dyDescent="0.3">
      <c r="A39">
        <v>7499092</v>
      </c>
      <c r="B39" t="s">
        <v>4626</v>
      </c>
      <c r="C39" t="str">
        <f t="shared" si="0"/>
        <v>7499092,</v>
      </c>
    </row>
    <row r="40" spans="1:3" x14ac:dyDescent="0.3">
      <c r="A40">
        <v>506398</v>
      </c>
      <c r="B40" t="s">
        <v>4626</v>
      </c>
      <c r="C40" t="str">
        <f t="shared" si="0"/>
        <v>506398,</v>
      </c>
    </row>
    <row r="41" spans="1:3" x14ac:dyDescent="0.3">
      <c r="A41">
        <v>120171925</v>
      </c>
      <c r="B41" t="s">
        <v>4626</v>
      </c>
      <c r="C41" t="str">
        <f t="shared" si="0"/>
        <v>120171925,</v>
      </c>
    </row>
    <row r="42" spans="1:3" x14ac:dyDescent="0.3">
      <c r="A42">
        <v>7498602</v>
      </c>
      <c r="B42" t="s">
        <v>4626</v>
      </c>
      <c r="C42" t="str">
        <f t="shared" si="0"/>
        <v>7498602,</v>
      </c>
    </row>
    <row r="43" spans="1:3" x14ac:dyDescent="0.3">
      <c r="A43">
        <v>7463975</v>
      </c>
      <c r="B43" t="s">
        <v>4626</v>
      </c>
      <c r="C43" t="str">
        <f t="shared" si="0"/>
        <v>7463975,</v>
      </c>
    </row>
    <row r="44" spans="1:3" x14ac:dyDescent="0.3">
      <c r="A44">
        <v>7434304</v>
      </c>
      <c r="B44" t="s">
        <v>4626</v>
      </c>
      <c r="C44" t="str">
        <f t="shared" si="0"/>
        <v>7434304,</v>
      </c>
    </row>
    <row r="45" spans="1:3" x14ac:dyDescent="0.3">
      <c r="A45">
        <v>7461846</v>
      </c>
      <c r="B45" t="s">
        <v>4626</v>
      </c>
      <c r="C45" t="str">
        <f t="shared" si="0"/>
        <v>7461846,</v>
      </c>
    </row>
    <row r="46" spans="1:3" x14ac:dyDescent="0.3">
      <c r="A46">
        <v>110012649</v>
      </c>
      <c r="B46" t="s">
        <v>4626</v>
      </c>
      <c r="C46" t="str">
        <f t="shared" si="0"/>
        <v>110012649,</v>
      </c>
    </row>
    <row r="47" spans="1:3" x14ac:dyDescent="0.3">
      <c r="A47">
        <v>7462119</v>
      </c>
      <c r="B47" t="s">
        <v>4626</v>
      </c>
      <c r="C47" t="str">
        <f t="shared" si="0"/>
        <v>7462119,</v>
      </c>
    </row>
    <row r="48" spans="1:3" x14ac:dyDescent="0.3">
      <c r="A48">
        <v>120172600</v>
      </c>
      <c r="B48" t="s">
        <v>4626</v>
      </c>
      <c r="C48" t="str">
        <f t="shared" si="0"/>
        <v>120172600,</v>
      </c>
    </row>
    <row r="49" spans="1:3" x14ac:dyDescent="0.3">
      <c r="A49">
        <v>7461439</v>
      </c>
      <c r="B49" t="s">
        <v>4626</v>
      </c>
      <c r="C49" t="str">
        <f t="shared" si="0"/>
        <v>7461439,</v>
      </c>
    </row>
    <row r="50" spans="1:3" x14ac:dyDescent="0.3">
      <c r="A50">
        <v>7498606</v>
      </c>
      <c r="B50" t="s">
        <v>4626</v>
      </c>
      <c r="C50" t="str">
        <f t="shared" si="0"/>
        <v>7498606,</v>
      </c>
    </row>
    <row r="51" spans="1:3" x14ac:dyDescent="0.3">
      <c r="A51">
        <v>120171924</v>
      </c>
      <c r="B51" t="s">
        <v>4626</v>
      </c>
      <c r="C51" t="str">
        <f t="shared" si="0"/>
        <v>120171924,</v>
      </c>
    </row>
    <row r="52" spans="1:3" x14ac:dyDescent="0.3">
      <c r="A52">
        <v>7426293</v>
      </c>
      <c r="B52" t="s">
        <v>4626</v>
      </c>
      <c r="C52" t="str">
        <f t="shared" si="0"/>
        <v>7426293,</v>
      </c>
    </row>
    <row r="53" spans="1:3" x14ac:dyDescent="0.3">
      <c r="A53">
        <v>7488709</v>
      </c>
      <c r="B53" t="s">
        <v>4626</v>
      </c>
      <c r="C53" t="str">
        <f t="shared" si="0"/>
        <v>7488709,</v>
      </c>
    </row>
    <row r="54" spans="1:3" x14ac:dyDescent="0.3">
      <c r="A54">
        <v>120171912</v>
      </c>
      <c r="B54" t="s">
        <v>4626</v>
      </c>
      <c r="C54" t="str">
        <f t="shared" si="0"/>
        <v>120171912,</v>
      </c>
    </row>
    <row r="55" spans="1:3" x14ac:dyDescent="0.3">
      <c r="A55">
        <v>120171923</v>
      </c>
      <c r="B55" t="s">
        <v>4626</v>
      </c>
      <c r="C55" t="str">
        <f t="shared" si="0"/>
        <v>120171923,</v>
      </c>
    </row>
    <row r="56" spans="1:3" x14ac:dyDescent="0.3">
      <c r="A56">
        <v>120171910</v>
      </c>
      <c r="B56" t="s">
        <v>4626</v>
      </c>
      <c r="C56" t="str">
        <f t="shared" si="0"/>
        <v>120171910,</v>
      </c>
    </row>
    <row r="57" spans="1:3" x14ac:dyDescent="0.3">
      <c r="A57">
        <v>7439496</v>
      </c>
      <c r="B57" t="s">
        <v>4626</v>
      </c>
      <c r="C57" t="str">
        <f t="shared" si="0"/>
        <v>7439496,</v>
      </c>
    </row>
    <row r="58" spans="1:3" x14ac:dyDescent="0.3">
      <c r="A58">
        <v>7498607</v>
      </c>
      <c r="B58" t="s">
        <v>4626</v>
      </c>
      <c r="C58" t="str">
        <f t="shared" si="0"/>
        <v>7498607,</v>
      </c>
    </row>
    <row r="59" spans="1:3" x14ac:dyDescent="0.3">
      <c r="A59">
        <v>7498609</v>
      </c>
      <c r="B59" t="s">
        <v>4626</v>
      </c>
      <c r="C59" t="str">
        <f t="shared" si="0"/>
        <v>7498609,</v>
      </c>
    </row>
    <row r="60" spans="1:3" x14ac:dyDescent="0.3">
      <c r="A60">
        <v>7461854</v>
      </c>
      <c r="B60" t="s">
        <v>4626</v>
      </c>
      <c r="C60" t="str">
        <f t="shared" si="0"/>
        <v>7461854,</v>
      </c>
    </row>
    <row r="61" spans="1:3" x14ac:dyDescent="0.3">
      <c r="A61">
        <v>120081834</v>
      </c>
      <c r="B61" t="s">
        <v>4626</v>
      </c>
      <c r="C61" t="str">
        <f t="shared" si="0"/>
        <v>120081834,</v>
      </c>
    </row>
    <row r="62" spans="1:3" x14ac:dyDescent="0.3">
      <c r="A62">
        <v>120081833</v>
      </c>
      <c r="B62" t="s">
        <v>4626</v>
      </c>
      <c r="C62" t="str">
        <f t="shared" si="0"/>
        <v>120081833,</v>
      </c>
    </row>
    <row r="63" spans="1:3" x14ac:dyDescent="0.3">
      <c r="A63">
        <v>523553</v>
      </c>
      <c r="B63" t="s">
        <v>4626</v>
      </c>
      <c r="C63" t="str">
        <f t="shared" si="0"/>
        <v>523553,</v>
      </c>
    </row>
    <row r="64" spans="1:3" x14ac:dyDescent="0.3">
      <c r="A64">
        <v>7502568</v>
      </c>
      <c r="B64" t="s">
        <v>4626</v>
      </c>
      <c r="C64" t="str">
        <f t="shared" si="0"/>
        <v>7502568,</v>
      </c>
    </row>
    <row r="65" spans="1:3" x14ac:dyDescent="0.3">
      <c r="A65">
        <v>7476358</v>
      </c>
      <c r="B65" t="s">
        <v>4626</v>
      </c>
      <c r="C65" t="str">
        <f t="shared" si="0"/>
        <v>7476358,</v>
      </c>
    </row>
    <row r="66" spans="1:3" x14ac:dyDescent="0.3">
      <c r="A66">
        <v>7477482</v>
      </c>
      <c r="B66" t="s">
        <v>4626</v>
      </c>
      <c r="C66" t="str">
        <f t="shared" ref="C66:C129" si="1">_xlfn.CONCAT(A66:B66)</f>
        <v>7477482,</v>
      </c>
    </row>
    <row r="67" spans="1:3" x14ac:dyDescent="0.3">
      <c r="A67">
        <v>120169796</v>
      </c>
      <c r="B67" t="s">
        <v>4626</v>
      </c>
      <c r="C67" t="str">
        <f t="shared" si="1"/>
        <v>120169796,</v>
      </c>
    </row>
    <row r="68" spans="1:3" x14ac:dyDescent="0.3">
      <c r="A68">
        <v>120171913</v>
      </c>
      <c r="B68" t="s">
        <v>4626</v>
      </c>
      <c r="C68" t="str">
        <f t="shared" si="1"/>
        <v>120171913,</v>
      </c>
    </row>
    <row r="69" spans="1:3" x14ac:dyDescent="0.3">
      <c r="A69">
        <v>532861</v>
      </c>
      <c r="B69" t="s">
        <v>4626</v>
      </c>
      <c r="C69" t="str">
        <f t="shared" si="1"/>
        <v>532861,</v>
      </c>
    </row>
    <row r="70" spans="1:3" x14ac:dyDescent="0.3">
      <c r="A70">
        <v>7498610</v>
      </c>
      <c r="B70" t="s">
        <v>4626</v>
      </c>
      <c r="C70" t="str">
        <f t="shared" si="1"/>
        <v>7498610,</v>
      </c>
    </row>
    <row r="71" spans="1:3" x14ac:dyDescent="0.3">
      <c r="A71">
        <v>520170</v>
      </c>
      <c r="B71" t="s">
        <v>4626</v>
      </c>
      <c r="C71" t="str">
        <f t="shared" si="1"/>
        <v>520170,</v>
      </c>
    </row>
    <row r="72" spans="1:3" x14ac:dyDescent="0.3">
      <c r="A72">
        <v>7505489</v>
      </c>
      <c r="B72" t="s">
        <v>4626</v>
      </c>
      <c r="C72" t="str">
        <f t="shared" si="1"/>
        <v>7505489,</v>
      </c>
    </row>
    <row r="73" spans="1:3" x14ac:dyDescent="0.3">
      <c r="A73">
        <v>7498612</v>
      </c>
      <c r="B73" t="s">
        <v>4626</v>
      </c>
      <c r="C73" t="str">
        <f t="shared" si="1"/>
        <v>7498612,</v>
      </c>
    </row>
    <row r="74" spans="1:3" x14ac:dyDescent="0.3">
      <c r="A74">
        <v>120172476</v>
      </c>
      <c r="B74" t="s">
        <v>4626</v>
      </c>
      <c r="C74" t="str">
        <f t="shared" si="1"/>
        <v>120172476,</v>
      </c>
    </row>
    <row r="75" spans="1:3" x14ac:dyDescent="0.3">
      <c r="A75">
        <v>7410462</v>
      </c>
      <c r="B75" t="s">
        <v>4626</v>
      </c>
      <c r="C75" t="str">
        <f t="shared" si="1"/>
        <v>7410462,</v>
      </c>
    </row>
    <row r="76" spans="1:3" x14ac:dyDescent="0.3">
      <c r="A76">
        <v>120171914</v>
      </c>
      <c r="B76" t="s">
        <v>4626</v>
      </c>
      <c r="C76" t="str">
        <f t="shared" si="1"/>
        <v>120171914,</v>
      </c>
    </row>
    <row r="77" spans="1:3" x14ac:dyDescent="0.3">
      <c r="A77">
        <v>7463022</v>
      </c>
      <c r="B77" t="s">
        <v>4626</v>
      </c>
      <c r="C77" t="str">
        <f t="shared" si="1"/>
        <v>7463022,</v>
      </c>
    </row>
    <row r="78" spans="1:3" x14ac:dyDescent="0.3">
      <c r="A78">
        <v>532264</v>
      </c>
      <c r="B78" t="s">
        <v>4626</v>
      </c>
      <c r="C78" t="str">
        <f t="shared" si="1"/>
        <v>532264,</v>
      </c>
    </row>
    <row r="79" spans="1:3" x14ac:dyDescent="0.3">
      <c r="A79">
        <v>7411261</v>
      </c>
      <c r="B79" t="s">
        <v>4626</v>
      </c>
      <c r="C79" t="str">
        <f t="shared" si="1"/>
        <v>7411261,</v>
      </c>
    </row>
    <row r="80" spans="1:3" x14ac:dyDescent="0.3">
      <c r="A80">
        <v>7498613</v>
      </c>
      <c r="B80" t="s">
        <v>4626</v>
      </c>
      <c r="C80" t="str">
        <f t="shared" si="1"/>
        <v>7498613,</v>
      </c>
    </row>
    <row r="81" spans="1:3" x14ac:dyDescent="0.3">
      <c r="A81">
        <v>535466</v>
      </c>
      <c r="B81" t="s">
        <v>4626</v>
      </c>
      <c r="C81" t="str">
        <f t="shared" si="1"/>
        <v>535466,</v>
      </c>
    </row>
    <row r="82" spans="1:3" x14ac:dyDescent="0.3">
      <c r="A82">
        <v>7498614</v>
      </c>
      <c r="B82" t="s">
        <v>4626</v>
      </c>
      <c r="C82" t="str">
        <f t="shared" si="1"/>
        <v>7498614,</v>
      </c>
    </row>
    <row r="83" spans="1:3" x14ac:dyDescent="0.3">
      <c r="A83">
        <v>530147</v>
      </c>
      <c r="B83" t="s">
        <v>4626</v>
      </c>
      <c r="C83" t="str">
        <f t="shared" si="1"/>
        <v>530147,</v>
      </c>
    </row>
    <row r="84" spans="1:3" x14ac:dyDescent="0.3">
      <c r="A84">
        <v>120171922</v>
      </c>
      <c r="B84" t="s">
        <v>4626</v>
      </c>
      <c r="C84" t="str">
        <f t="shared" si="1"/>
        <v>120171922,</v>
      </c>
    </row>
    <row r="85" spans="1:3" x14ac:dyDescent="0.3">
      <c r="A85">
        <v>120171911</v>
      </c>
      <c r="B85" t="s">
        <v>4626</v>
      </c>
      <c r="C85" t="str">
        <f t="shared" si="1"/>
        <v>120171911,</v>
      </c>
    </row>
    <row r="86" spans="1:3" x14ac:dyDescent="0.3">
      <c r="A86">
        <v>7502785</v>
      </c>
      <c r="B86" t="s">
        <v>4626</v>
      </c>
      <c r="C86" t="str">
        <f t="shared" si="1"/>
        <v>7502785,</v>
      </c>
    </row>
    <row r="87" spans="1:3" x14ac:dyDescent="0.3">
      <c r="A87">
        <v>7494139</v>
      </c>
      <c r="B87" t="s">
        <v>4626</v>
      </c>
      <c r="C87" t="str">
        <f t="shared" si="1"/>
        <v>7494139,</v>
      </c>
    </row>
    <row r="88" spans="1:3" x14ac:dyDescent="0.3">
      <c r="A88">
        <v>110000553</v>
      </c>
      <c r="B88" t="s">
        <v>4626</v>
      </c>
      <c r="C88" t="str">
        <f t="shared" si="1"/>
        <v>110000553,</v>
      </c>
    </row>
    <row r="89" spans="1:3" x14ac:dyDescent="0.3">
      <c r="A89">
        <v>120171921</v>
      </c>
      <c r="B89" t="s">
        <v>4626</v>
      </c>
      <c r="C89" t="str">
        <f t="shared" si="1"/>
        <v>120171921,</v>
      </c>
    </row>
    <row r="90" spans="1:3" x14ac:dyDescent="0.3">
      <c r="A90">
        <v>7500609</v>
      </c>
      <c r="B90" t="s">
        <v>4626</v>
      </c>
      <c r="C90" t="str">
        <f t="shared" si="1"/>
        <v>7500609,</v>
      </c>
    </row>
    <row r="91" spans="1:3" x14ac:dyDescent="0.3">
      <c r="A91">
        <v>120171915</v>
      </c>
      <c r="B91" t="s">
        <v>4626</v>
      </c>
      <c r="C91" t="str">
        <f t="shared" si="1"/>
        <v>120171915,</v>
      </c>
    </row>
    <row r="92" spans="1:3" x14ac:dyDescent="0.3">
      <c r="A92">
        <v>7496125</v>
      </c>
      <c r="B92" t="s">
        <v>4626</v>
      </c>
      <c r="C92" t="str">
        <f t="shared" si="1"/>
        <v>7496125,</v>
      </c>
    </row>
    <row r="93" spans="1:3" x14ac:dyDescent="0.3">
      <c r="A93">
        <v>80135768</v>
      </c>
      <c r="B93" t="s">
        <v>4626</v>
      </c>
      <c r="C93" t="str">
        <f t="shared" si="1"/>
        <v>80135768,</v>
      </c>
    </row>
    <row r="94" spans="1:3" x14ac:dyDescent="0.3">
      <c r="A94">
        <v>524787</v>
      </c>
      <c r="B94" t="s">
        <v>4626</v>
      </c>
      <c r="C94" t="str">
        <f t="shared" si="1"/>
        <v>524787,</v>
      </c>
    </row>
    <row r="95" spans="1:3" x14ac:dyDescent="0.3">
      <c r="A95">
        <v>7477481</v>
      </c>
      <c r="B95" t="s">
        <v>4626</v>
      </c>
      <c r="C95" t="str">
        <f t="shared" si="1"/>
        <v>7477481,</v>
      </c>
    </row>
    <row r="96" spans="1:3" x14ac:dyDescent="0.3">
      <c r="A96">
        <v>7492511</v>
      </c>
      <c r="B96" t="s">
        <v>4626</v>
      </c>
      <c r="C96" t="str">
        <f t="shared" si="1"/>
        <v>7492511,</v>
      </c>
    </row>
    <row r="97" spans="1:3" x14ac:dyDescent="0.3">
      <c r="A97">
        <v>7486286</v>
      </c>
      <c r="B97" t="s">
        <v>4626</v>
      </c>
      <c r="C97" t="str">
        <f t="shared" si="1"/>
        <v>7486286,</v>
      </c>
    </row>
    <row r="98" spans="1:3" x14ac:dyDescent="0.3">
      <c r="A98">
        <v>7483035</v>
      </c>
      <c r="B98" t="s">
        <v>4626</v>
      </c>
      <c r="C98" t="str">
        <f t="shared" si="1"/>
        <v>7483035,</v>
      </c>
    </row>
    <row r="99" spans="1:3" x14ac:dyDescent="0.3">
      <c r="A99">
        <v>80107937</v>
      </c>
      <c r="B99" t="s">
        <v>4626</v>
      </c>
      <c r="C99" t="str">
        <f t="shared" si="1"/>
        <v>80107937,</v>
      </c>
    </row>
    <row r="100" spans="1:3" x14ac:dyDescent="0.3">
      <c r="A100">
        <v>120091794</v>
      </c>
      <c r="B100" t="s">
        <v>4626</v>
      </c>
      <c r="C100" t="str">
        <f t="shared" si="1"/>
        <v>120091794,</v>
      </c>
    </row>
    <row r="101" spans="1:3" x14ac:dyDescent="0.3">
      <c r="A101">
        <v>528490</v>
      </c>
      <c r="B101" t="s">
        <v>4626</v>
      </c>
      <c r="C101" t="str">
        <f t="shared" si="1"/>
        <v>528490,</v>
      </c>
    </row>
    <row r="102" spans="1:3" x14ac:dyDescent="0.3">
      <c r="A102">
        <v>7483886</v>
      </c>
      <c r="B102" t="s">
        <v>4626</v>
      </c>
      <c r="C102" t="str">
        <f t="shared" si="1"/>
        <v>7483886,</v>
      </c>
    </row>
    <row r="103" spans="1:3" x14ac:dyDescent="0.3">
      <c r="A103">
        <v>529816</v>
      </c>
      <c r="B103" t="s">
        <v>4626</v>
      </c>
      <c r="C103" t="str">
        <f t="shared" si="1"/>
        <v>529816,</v>
      </c>
    </row>
    <row r="104" spans="1:3" x14ac:dyDescent="0.3">
      <c r="A104">
        <v>120171920</v>
      </c>
      <c r="B104" t="s">
        <v>4626</v>
      </c>
      <c r="C104" t="str">
        <f t="shared" si="1"/>
        <v>120171920,</v>
      </c>
    </row>
    <row r="105" spans="1:3" x14ac:dyDescent="0.3">
      <c r="A105">
        <v>7500610</v>
      </c>
      <c r="B105" t="s">
        <v>4626</v>
      </c>
      <c r="C105" t="str">
        <f t="shared" si="1"/>
        <v>7500610,</v>
      </c>
    </row>
    <row r="106" spans="1:3" x14ac:dyDescent="0.3">
      <c r="A106">
        <v>120171919</v>
      </c>
      <c r="B106" t="s">
        <v>4626</v>
      </c>
      <c r="C106" t="str">
        <f t="shared" si="1"/>
        <v>120171919,</v>
      </c>
    </row>
    <row r="107" spans="1:3" x14ac:dyDescent="0.3">
      <c r="A107">
        <v>7496107</v>
      </c>
      <c r="B107" t="s">
        <v>4626</v>
      </c>
      <c r="C107" t="str">
        <f t="shared" si="1"/>
        <v>7496107,</v>
      </c>
    </row>
    <row r="108" spans="1:3" x14ac:dyDescent="0.3">
      <c r="A108">
        <v>110003378</v>
      </c>
      <c r="B108" t="s">
        <v>4626</v>
      </c>
      <c r="C108" t="str">
        <f t="shared" si="1"/>
        <v>110003378,</v>
      </c>
    </row>
    <row r="109" spans="1:3" x14ac:dyDescent="0.3">
      <c r="A109" t="s">
        <v>918</v>
      </c>
      <c r="B109" t="s">
        <v>4626</v>
      </c>
      <c r="C109" t="str">
        <f t="shared" si="1"/>
        <v>7505492 ,</v>
      </c>
    </row>
    <row r="110" spans="1:3" x14ac:dyDescent="0.3">
      <c r="A110">
        <v>526424</v>
      </c>
      <c r="B110" t="s">
        <v>4626</v>
      </c>
      <c r="C110" t="str">
        <f t="shared" si="1"/>
        <v>526424,</v>
      </c>
    </row>
    <row r="111" spans="1:3" x14ac:dyDescent="0.3">
      <c r="A111">
        <v>7488915</v>
      </c>
      <c r="B111" t="s">
        <v>4626</v>
      </c>
      <c r="C111" t="str">
        <f t="shared" si="1"/>
        <v>7488915,</v>
      </c>
    </row>
    <row r="112" spans="1:3" x14ac:dyDescent="0.3">
      <c r="A112">
        <v>70050001</v>
      </c>
      <c r="B112" t="s">
        <v>4626</v>
      </c>
      <c r="C112" t="str">
        <f t="shared" si="1"/>
        <v>70050001,</v>
      </c>
    </row>
    <row r="113" spans="1:3" x14ac:dyDescent="0.3">
      <c r="A113">
        <v>7504883</v>
      </c>
      <c r="B113" t="s">
        <v>4626</v>
      </c>
      <c r="C113" t="str">
        <f t="shared" si="1"/>
        <v>7504883,</v>
      </c>
    </row>
    <row r="114" spans="1:3" x14ac:dyDescent="0.3">
      <c r="A114">
        <v>7498617</v>
      </c>
      <c r="B114" t="s">
        <v>4626</v>
      </c>
      <c r="C114" t="str">
        <f t="shared" si="1"/>
        <v>7498617,</v>
      </c>
    </row>
    <row r="115" spans="1:3" x14ac:dyDescent="0.3">
      <c r="A115">
        <v>7477816</v>
      </c>
      <c r="B115" t="s">
        <v>4626</v>
      </c>
      <c r="C115" t="str">
        <f t="shared" si="1"/>
        <v>7477816,</v>
      </c>
    </row>
    <row r="116" spans="1:3" x14ac:dyDescent="0.3">
      <c r="A116">
        <v>7468017</v>
      </c>
      <c r="B116" t="s">
        <v>4626</v>
      </c>
      <c r="C116" t="str">
        <f t="shared" si="1"/>
        <v>7468017,</v>
      </c>
    </row>
    <row r="117" spans="1:3" x14ac:dyDescent="0.3">
      <c r="A117">
        <v>120168754</v>
      </c>
      <c r="B117" t="s">
        <v>4626</v>
      </c>
      <c r="C117" t="str">
        <f t="shared" si="1"/>
        <v>120168754,</v>
      </c>
    </row>
    <row r="118" spans="1:3" x14ac:dyDescent="0.3">
      <c r="A118">
        <v>120045202</v>
      </c>
      <c r="B118" t="s">
        <v>4626</v>
      </c>
      <c r="C118" t="str">
        <f t="shared" si="1"/>
        <v>120045202,</v>
      </c>
    </row>
    <row r="119" spans="1:3" x14ac:dyDescent="0.3">
      <c r="A119">
        <v>533143</v>
      </c>
      <c r="B119" t="s">
        <v>4626</v>
      </c>
      <c r="C119" t="str">
        <f t="shared" si="1"/>
        <v>533143,</v>
      </c>
    </row>
    <row r="120" spans="1:3" x14ac:dyDescent="0.3">
      <c r="A120">
        <v>80115240</v>
      </c>
      <c r="B120" t="s">
        <v>4626</v>
      </c>
      <c r="C120" t="str">
        <f t="shared" si="1"/>
        <v>80115240,</v>
      </c>
    </row>
    <row r="121" spans="1:3" x14ac:dyDescent="0.3">
      <c r="A121">
        <v>120095274</v>
      </c>
      <c r="B121" t="s">
        <v>4626</v>
      </c>
      <c r="C121" t="str">
        <f t="shared" si="1"/>
        <v>120095274,</v>
      </c>
    </row>
    <row r="122" spans="1:3" x14ac:dyDescent="0.3">
      <c r="A122">
        <v>535981</v>
      </c>
      <c r="B122" t="s">
        <v>4626</v>
      </c>
      <c r="C122" t="str">
        <f t="shared" si="1"/>
        <v>535981,</v>
      </c>
    </row>
    <row r="123" spans="1:3" x14ac:dyDescent="0.3">
      <c r="A123">
        <v>120191158</v>
      </c>
      <c r="B123" t="s">
        <v>4626</v>
      </c>
      <c r="C123" t="str">
        <f t="shared" si="1"/>
        <v>120191158,</v>
      </c>
    </row>
    <row r="124" spans="1:3" x14ac:dyDescent="0.3">
      <c r="A124">
        <v>527161</v>
      </c>
      <c r="B124" t="s">
        <v>4626</v>
      </c>
      <c r="C124" t="str">
        <f t="shared" si="1"/>
        <v>527161,</v>
      </c>
    </row>
    <row r="125" spans="1:3" x14ac:dyDescent="0.3">
      <c r="A125">
        <v>510794</v>
      </c>
      <c r="B125" t="s">
        <v>4626</v>
      </c>
      <c r="C125" t="str">
        <f t="shared" si="1"/>
        <v>510794,</v>
      </c>
    </row>
    <row r="126" spans="1:3" x14ac:dyDescent="0.3">
      <c r="A126">
        <v>120116679</v>
      </c>
      <c r="B126" t="s">
        <v>4626</v>
      </c>
      <c r="C126" t="str">
        <f t="shared" si="1"/>
        <v>120116679,</v>
      </c>
    </row>
    <row r="127" spans="1:3" x14ac:dyDescent="0.3">
      <c r="A127">
        <v>120206934</v>
      </c>
      <c r="B127" t="s">
        <v>4626</v>
      </c>
      <c r="C127" t="str">
        <f t="shared" si="1"/>
        <v>120206934,</v>
      </c>
    </row>
    <row r="128" spans="1:3" x14ac:dyDescent="0.3">
      <c r="A128">
        <v>535258</v>
      </c>
      <c r="B128" t="s">
        <v>4626</v>
      </c>
      <c r="C128" t="str">
        <f t="shared" si="1"/>
        <v>535258,</v>
      </c>
    </row>
    <row r="129" spans="1:3" x14ac:dyDescent="0.3">
      <c r="A129">
        <v>7464171</v>
      </c>
      <c r="B129" t="s">
        <v>4626</v>
      </c>
      <c r="C129" t="str">
        <f t="shared" si="1"/>
        <v>7464171,</v>
      </c>
    </row>
    <row r="130" spans="1:3" x14ac:dyDescent="0.3">
      <c r="A130">
        <v>120211955</v>
      </c>
      <c r="B130" t="s">
        <v>4626</v>
      </c>
      <c r="C130" t="str">
        <f t="shared" ref="C130:C131" si="2">_xlfn.CONCAT(A130:B130)</f>
        <v>120211955,</v>
      </c>
    </row>
    <row r="131" spans="1:3" x14ac:dyDescent="0.3">
      <c r="A131">
        <v>120211967</v>
      </c>
      <c r="C131" t="str">
        <f t="shared" si="2"/>
        <v>120211967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1147"/>
  <sheetViews>
    <sheetView zoomScale="70" zoomScaleNormal="70" workbookViewId="0">
      <pane ySplit="1" topLeftCell="A934" activePane="bottomLeft" state="frozen"/>
      <selection pane="bottomLeft" activeCell="C954" sqref="C954"/>
    </sheetView>
  </sheetViews>
  <sheetFormatPr defaultRowHeight="15" customHeight="1" x14ac:dyDescent="0.3"/>
  <cols>
    <col min="1" max="1" width="26" customWidth="1"/>
    <col min="2" max="2" width="17.33203125" customWidth="1"/>
    <col min="3" max="3" width="23.33203125" customWidth="1"/>
    <col min="4" max="4" width="25.5546875" customWidth="1"/>
    <col min="5" max="5" width="53.6640625" customWidth="1"/>
    <col min="6" max="6" width="14.44140625" style="2" customWidth="1"/>
    <col min="7" max="7" width="61.6640625" customWidth="1"/>
  </cols>
  <sheetData>
    <row r="1" spans="1:8" s="1" customFormat="1" ht="27.75" customHeight="1" x14ac:dyDescent="0.3">
      <c r="A1" s="3" t="s">
        <v>0</v>
      </c>
      <c r="B1" s="3" t="s">
        <v>1</v>
      </c>
      <c r="C1" s="3" t="s">
        <v>2</v>
      </c>
      <c r="D1" s="4" t="s">
        <v>3</v>
      </c>
      <c r="E1" s="4" t="s">
        <v>4</v>
      </c>
      <c r="F1" s="4" t="s">
        <v>5</v>
      </c>
      <c r="G1" s="4" t="s">
        <v>6</v>
      </c>
    </row>
    <row r="2" spans="1:8" ht="15" customHeight="1" x14ac:dyDescent="0.3">
      <c r="A2" t="s">
        <v>122</v>
      </c>
      <c r="B2">
        <v>7438426</v>
      </c>
      <c r="C2" t="s">
        <v>304</v>
      </c>
      <c r="D2">
        <v>100913315</v>
      </c>
      <c r="E2" t="s">
        <v>1272</v>
      </c>
      <c r="F2" s="2" t="s">
        <v>1273</v>
      </c>
      <c r="G2" t="s">
        <v>1273</v>
      </c>
      <c r="H2" s="2" t="s">
        <v>1274</v>
      </c>
    </row>
    <row r="3" spans="1:8" ht="15" customHeight="1" x14ac:dyDescent="0.3">
      <c r="A3" t="s">
        <v>122</v>
      </c>
      <c r="B3">
        <v>7438426</v>
      </c>
      <c r="C3" t="s">
        <v>304</v>
      </c>
      <c r="D3">
        <v>100913315</v>
      </c>
      <c r="E3" t="s">
        <v>1275</v>
      </c>
      <c r="F3" s="2" t="s">
        <v>1276</v>
      </c>
      <c r="G3" t="s">
        <v>1276</v>
      </c>
      <c r="H3" s="2" t="s">
        <v>1277</v>
      </c>
    </row>
    <row r="4" spans="1:8" ht="15" customHeight="1" x14ac:dyDescent="0.3">
      <c r="A4" t="s">
        <v>460</v>
      </c>
      <c r="B4">
        <v>508073</v>
      </c>
      <c r="C4" t="s">
        <v>1278</v>
      </c>
      <c r="D4">
        <v>101238163</v>
      </c>
      <c r="E4" t="s">
        <v>1279</v>
      </c>
      <c r="F4" s="2" t="s">
        <v>1280</v>
      </c>
      <c r="H4" s="2" t="s">
        <v>1281</v>
      </c>
    </row>
    <row r="5" spans="1:8" ht="15" customHeight="1" x14ac:dyDescent="0.3">
      <c r="A5" t="s">
        <v>20</v>
      </c>
      <c r="B5">
        <v>530147</v>
      </c>
      <c r="C5" t="s">
        <v>19</v>
      </c>
      <c r="D5">
        <v>101189841</v>
      </c>
      <c r="E5" t="s">
        <v>1282</v>
      </c>
      <c r="F5" s="2" t="s">
        <v>1283</v>
      </c>
      <c r="H5" s="2" t="s">
        <v>1277</v>
      </c>
    </row>
    <row r="6" spans="1:8" ht="15" customHeight="1" x14ac:dyDescent="0.3">
      <c r="A6" t="s">
        <v>460</v>
      </c>
      <c r="B6">
        <v>508073</v>
      </c>
      <c r="C6" t="s">
        <v>1278</v>
      </c>
      <c r="D6">
        <v>101238163</v>
      </c>
      <c r="E6" t="s">
        <v>1279</v>
      </c>
      <c r="F6" s="2" t="s">
        <v>1284</v>
      </c>
      <c r="H6" s="2" t="s">
        <v>1281</v>
      </c>
    </row>
    <row r="7" spans="1:8" ht="15" customHeight="1" x14ac:dyDescent="0.3">
      <c r="A7" t="s">
        <v>22</v>
      </c>
      <c r="C7" t="s">
        <v>21</v>
      </c>
      <c r="D7">
        <v>101216950</v>
      </c>
      <c r="E7" t="s">
        <v>1285</v>
      </c>
      <c r="F7" s="2" t="s">
        <v>1286</v>
      </c>
      <c r="H7" s="2" t="s">
        <v>1277</v>
      </c>
    </row>
    <row r="8" spans="1:8" ht="15" customHeight="1" x14ac:dyDescent="0.3">
      <c r="A8" t="s">
        <v>24</v>
      </c>
      <c r="B8">
        <v>532861</v>
      </c>
      <c r="C8" t="s">
        <v>23</v>
      </c>
      <c r="D8">
        <v>100922948</v>
      </c>
      <c r="E8" t="s">
        <v>1287</v>
      </c>
      <c r="F8" s="2" t="s">
        <v>1288</v>
      </c>
      <c r="G8" t="s">
        <v>1288</v>
      </c>
      <c r="H8" s="2" t="s">
        <v>1289</v>
      </c>
    </row>
    <row r="9" spans="1:8" ht="15" customHeight="1" x14ac:dyDescent="0.3">
      <c r="A9" t="s">
        <v>26</v>
      </c>
      <c r="C9" t="s">
        <v>25</v>
      </c>
      <c r="D9">
        <v>100895677</v>
      </c>
      <c r="E9" t="s">
        <v>1290</v>
      </c>
      <c r="F9" s="2" t="s">
        <v>1288</v>
      </c>
      <c r="H9" s="2" t="s">
        <v>7</v>
      </c>
    </row>
    <row r="10" spans="1:8" ht="14.25" customHeight="1" x14ac:dyDescent="0.3">
      <c r="A10" t="s">
        <v>407</v>
      </c>
      <c r="B10">
        <v>7439496</v>
      </c>
      <c r="C10" t="s">
        <v>446</v>
      </c>
      <c r="D10">
        <v>101290014</v>
      </c>
      <c r="E10" t="s">
        <v>1291</v>
      </c>
      <c r="F10" s="2" t="s">
        <v>1292</v>
      </c>
      <c r="H10" s="2" t="s">
        <v>1277</v>
      </c>
    </row>
    <row r="11" spans="1:8" ht="15" customHeight="1" x14ac:dyDescent="0.3">
      <c r="A11" t="s">
        <v>28</v>
      </c>
      <c r="B11">
        <v>7435262</v>
      </c>
      <c r="C11" t="s">
        <v>27</v>
      </c>
      <c r="D11">
        <v>101068123</v>
      </c>
      <c r="E11" t="s">
        <v>1293</v>
      </c>
      <c r="F11" s="2" t="s">
        <v>1294</v>
      </c>
      <c r="H11" s="2" t="s">
        <v>1277</v>
      </c>
    </row>
    <row r="12" spans="1:8" ht="15" customHeight="1" x14ac:dyDescent="0.3">
      <c r="A12" t="s">
        <v>28</v>
      </c>
      <c r="B12">
        <v>7435262</v>
      </c>
      <c r="C12" t="s">
        <v>27</v>
      </c>
      <c r="D12">
        <v>101068123</v>
      </c>
      <c r="E12" t="s">
        <v>1295</v>
      </c>
      <c r="F12" s="2" t="s">
        <v>1294</v>
      </c>
      <c r="H12" s="2" t="s">
        <v>1277</v>
      </c>
    </row>
    <row r="13" spans="1:8" ht="15" customHeight="1" x14ac:dyDescent="0.3">
      <c r="A13" t="s">
        <v>30</v>
      </c>
      <c r="B13">
        <v>506398</v>
      </c>
      <c r="C13" t="s">
        <v>29</v>
      </c>
      <c r="D13">
        <v>100899593</v>
      </c>
      <c r="E13" t="s">
        <v>1296</v>
      </c>
      <c r="F13" s="2" t="s">
        <v>1297</v>
      </c>
      <c r="G13" t="s">
        <v>1297</v>
      </c>
      <c r="H13" s="2" t="s">
        <v>1298</v>
      </c>
    </row>
    <row r="14" spans="1:8" ht="15" customHeight="1" x14ac:dyDescent="0.3">
      <c r="A14" t="s">
        <v>32</v>
      </c>
      <c r="B14">
        <v>7486286</v>
      </c>
      <c r="C14" t="s">
        <v>31</v>
      </c>
      <c r="D14">
        <v>101294365</v>
      </c>
      <c r="E14" t="s">
        <v>1299</v>
      </c>
      <c r="F14" s="2" t="s">
        <v>1297</v>
      </c>
      <c r="G14" t="s">
        <v>1297</v>
      </c>
      <c r="H14" s="2" t="s">
        <v>7</v>
      </c>
    </row>
    <row r="15" spans="1:8" ht="15" customHeight="1" x14ac:dyDescent="0.3">
      <c r="A15" t="s">
        <v>1300</v>
      </c>
      <c r="B15">
        <v>502003</v>
      </c>
      <c r="C15" t="s">
        <v>1020</v>
      </c>
      <c r="D15">
        <v>101211814</v>
      </c>
      <c r="E15" t="s">
        <v>1301</v>
      </c>
      <c r="F15" s="2" t="s">
        <v>1297</v>
      </c>
      <c r="H15" s="2" t="s">
        <v>7</v>
      </c>
    </row>
    <row r="16" spans="1:8" ht="15" customHeight="1" x14ac:dyDescent="0.3">
      <c r="A16" t="s">
        <v>122</v>
      </c>
      <c r="B16">
        <v>525520</v>
      </c>
      <c r="C16" t="s">
        <v>289</v>
      </c>
      <c r="D16">
        <v>100913316</v>
      </c>
      <c r="E16" t="s">
        <v>1302</v>
      </c>
      <c r="F16" s="2" t="s">
        <v>1303</v>
      </c>
      <c r="G16" t="s">
        <v>1303</v>
      </c>
      <c r="H16" s="2" t="s">
        <v>1304</v>
      </c>
    </row>
    <row r="17" spans="1:8" ht="15" customHeight="1" x14ac:dyDescent="0.3">
      <c r="A17" t="s">
        <v>460</v>
      </c>
      <c r="B17">
        <v>508073</v>
      </c>
      <c r="C17" t="s">
        <v>1278</v>
      </c>
      <c r="D17">
        <v>101238163</v>
      </c>
      <c r="E17" t="s">
        <v>1279</v>
      </c>
      <c r="F17" s="2" t="s">
        <v>1303</v>
      </c>
      <c r="H17" s="2" t="s">
        <v>1281</v>
      </c>
    </row>
    <row r="18" spans="1:8" ht="15" customHeight="1" x14ac:dyDescent="0.3">
      <c r="A18" t="s">
        <v>122</v>
      </c>
      <c r="B18">
        <v>525520</v>
      </c>
      <c r="C18" t="s">
        <v>283</v>
      </c>
      <c r="D18">
        <v>101240707</v>
      </c>
      <c r="E18" t="s">
        <v>1305</v>
      </c>
      <c r="F18" s="2" t="s">
        <v>1306</v>
      </c>
      <c r="G18" t="s">
        <v>1306</v>
      </c>
      <c r="H18" s="2" t="s">
        <v>1307</v>
      </c>
    </row>
    <row r="19" spans="1:8" ht="15" customHeight="1" x14ac:dyDescent="0.3">
      <c r="A19" t="s">
        <v>122</v>
      </c>
      <c r="B19">
        <v>525520</v>
      </c>
      <c r="C19" t="s">
        <v>304</v>
      </c>
      <c r="D19">
        <v>100913315</v>
      </c>
      <c r="E19" t="s">
        <v>1305</v>
      </c>
      <c r="F19" s="2" t="s">
        <v>1306</v>
      </c>
      <c r="G19" t="s">
        <v>1306</v>
      </c>
      <c r="H19" s="2" t="s">
        <v>1307</v>
      </c>
    </row>
    <row r="20" spans="1:8" ht="15" customHeight="1" x14ac:dyDescent="0.3">
      <c r="A20" t="s">
        <v>122</v>
      </c>
      <c r="B20">
        <v>525520</v>
      </c>
      <c r="C20" t="s">
        <v>342</v>
      </c>
      <c r="D20">
        <v>101252649</v>
      </c>
      <c r="E20" t="s">
        <v>1305</v>
      </c>
      <c r="F20" s="2" t="s">
        <v>1306</v>
      </c>
      <c r="G20" t="s">
        <v>1306</v>
      </c>
      <c r="H20" s="2" t="s">
        <v>1307</v>
      </c>
    </row>
    <row r="21" spans="1:8" ht="15" customHeight="1" x14ac:dyDescent="0.3">
      <c r="A21" t="s">
        <v>122</v>
      </c>
      <c r="B21">
        <v>525520</v>
      </c>
      <c r="C21" t="s">
        <v>304</v>
      </c>
      <c r="D21">
        <v>100913315</v>
      </c>
      <c r="E21" t="s">
        <v>1308</v>
      </c>
      <c r="F21" s="2" t="s">
        <v>1306</v>
      </c>
      <c r="G21" t="s">
        <v>1306</v>
      </c>
      <c r="H21" s="2" t="s">
        <v>1309</v>
      </c>
    </row>
    <row r="22" spans="1:8" ht="15" customHeight="1" x14ac:dyDescent="0.3">
      <c r="A22" t="s">
        <v>20</v>
      </c>
      <c r="B22">
        <v>530147</v>
      </c>
      <c r="C22" t="s">
        <v>33</v>
      </c>
      <c r="D22">
        <v>100919469</v>
      </c>
      <c r="E22" t="s">
        <v>1310</v>
      </c>
      <c r="F22" s="2" t="s">
        <v>1311</v>
      </c>
      <c r="H22" s="2" t="s">
        <v>1277</v>
      </c>
    </row>
    <row r="23" spans="1:8" ht="15" customHeight="1" x14ac:dyDescent="0.3">
      <c r="A23" t="s">
        <v>1312</v>
      </c>
      <c r="B23">
        <v>7465932</v>
      </c>
      <c r="C23" t="s">
        <v>913</v>
      </c>
      <c r="D23">
        <v>101212756</v>
      </c>
      <c r="E23" t="s">
        <v>1313</v>
      </c>
      <c r="F23" s="2" t="s">
        <v>1314</v>
      </c>
      <c r="H23" s="2"/>
    </row>
    <row r="24" spans="1:8" ht="15" customHeight="1" x14ac:dyDescent="0.3">
      <c r="A24" t="s">
        <v>35</v>
      </c>
      <c r="B24">
        <v>532264</v>
      </c>
      <c r="C24" t="s">
        <v>34</v>
      </c>
      <c r="D24">
        <v>101225859</v>
      </c>
      <c r="E24" t="s">
        <v>1315</v>
      </c>
      <c r="F24" s="2" t="s">
        <v>1314</v>
      </c>
      <c r="H24" s="2"/>
    </row>
    <row r="25" spans="1:8" ht="15" customHeight="1" x14ac:dyDescent="0.3">
      <c r="A25" t="s">
        <v>37</v>
      </c>
      <c r="B25">
        <v>518250</v>
      </c>
      <c r="C25" t="s">
        <v>36</v>
      </c>
      <c r="D25">
        <v>100966580</v>
      </c>
      <c r="E25" t="s">
        <v>1316</v>
      </c>
      <c r="F25" s="2" t="s">
        <v>1317</v>
      </c>
      <c r="H25" s="2"/>
    </row>
    <row r="26" spans="1:8" ht="15" customHeight="1" x14ac:dyDescent="0.3">
      <c r="A26" t="s">
        <v>39</v>
      </c>
      <c r="B26">
        <v>534217</v>
      </c>
      <c r="C26" t="s">
        <v>38</v>
      </c>
      <c r="D26">
        <v>100924649</v>
      </c>
      <c r="E26" t="s">
        <v>1318</v>
      </c>
      <c r="F26" s="2" t="s">
        <v>1319</v>
      </c>
      <c r="H26" s="2"/>
    </row>
    <row r="27" spans="1:8" ht="15" customHeight="1" x14ac:dyDescent="0.3">
      <c r="A27" t="s">
        <v>28</v>
      </c>
      <c r="B27">
        <v>7435262</v>
      </c>
      <c r="C27" t="s">
        <v>27</v>
      </c>
      <c r="D27">
        <v>101068123</v>
      </c>
      <c r="E27" t="s">
        <v>1318</v>
      </c>
      <c r="F27" s="2" t="s">
        <v>1319</v>
      </c>
      <c r="H27" s="2"/>
    </row>
    <row r="28" spans="1:8" ht="15" customHeight="1" x14ac:dyDescent="0.3">
      <c r="A28" t="s">
        <v>1312</v>
      </c>
      <c r="B28">
        <v>7465932</v>
      </c>
      <c r="C28" t="s">
        <v>913</v>
      </c>
      <c r="D28">
        <v>101212756</v>
      </c>
      <c r="E28" t="s">
        <v>1320</v>
      </c>
      <c r="F28" s="2" t="s">
        <v>1319</v>
      </c>
      <c r="H28" s="2"/>
    </row>
    <row r="29" spans="1:8" ht="15" customHeight="1" x14ac:dyDescent="0.3">
      <c r="A29" t="s">
        <v>41</v>
      </c>
      <c r="B29">
        <v>7488709</v>
      </c>
      <c r="C29" t="s">
        <v>40</v>
      </c>
      <c r="D29">
        <v>101314845</v>
      </c>
      <c r="E29" t="s">
        <v>1321</v>
      </c>
      <c r="F29" s="2" t="s">
        <v>1319</v>
      </c>
      <c r="H29" s="2"/>
    </row>
    <row r="30" spans="1:8" ht="15" customHeight="1" x14ac:dyDescent="0.3">
      <c r="A30" t="s">
        <v>24</v>
      </c>
      <c r="B30">
        <v>532951</v>
      </c>
      <c r="C30" t="s">
        <v>23</v>
      </c>
      <c r="D30">
        <v>100922948</v>
      </c>
      <c r="E30" t="s">
        <v>1322</v>
      </c>
      <c r="F30" s="2" t="s">
        <v>1319</v>
      </c>
      <c r="H30" s="2"/>
    </row>
    <row r="31" spans="1:8" ht="15" customHeight="1" x14ac:dyDescent="0.3">
      <c r="A31" t="s">
        <v>32</v>
      </c>
      <c r="B31">
        <v>7486286</v>
      </c>
      <c r="C31" t="s">
        <v>42</v>
      </c>
      <c r="D31">
        <v>101298907</v>
      </c>
      <c r="E31" t="s">
        <v>1323</v>
      </c>
      <c r="F31" s="2" t="s">
        <v>1324</v>
      </c>
      <c r="H31" s="2"/>
    </row>
    <row r="32" spans="1:8" ht="15" customHeight="1" x14ac:dyDescent="0.3">
      <c r="A32" t="s">
        <v>32</v>
      </c>
      <c r="B32">
        <v>7486286</v>
      </c>
      <c r="C32" t="s">
        <v>43</v>
      </c>
      <c r="D32">
        <v>101298902</v>
      </c>
      <c r="E32" t="s">
        <v>1323</v>
      </c>
      <c r="F32" s="2" t="s">
        <v>1324</v>
      </c>
      <c r="H32" s="2"/>
    </row>
    <row r="33" spans="1:8" ht="15" customHeight="1" x14ac:dyDescent="0.3">
      <c r="A33" t="s">
        <v>32</v>
      </c>
      <c r="B33">
        <v>7486286</v>
      </c>
      <c r="C33" t="s">
        <v>44</v>
      </c>
      <c r="D33">
        <v>101298909</v>
      </c>
      <c r="E33" t="s">
        <v>1323</v>
      </c>
      <c r="F33" s="2" t="s">
        <v>1324</v>
      </c>
      <c r="H33" s="2"/>
    </row>
    <row r="34" spans="1:8" ht="15" customHeight="1" x14ac:dyDescent="0.3">
      <c r="A34" t="s">
        <v>32</v>
      </c>
      <c r="B34">
        <v>7486286</v>
      </c>
      <c r="C34" t="s">
        <v>45</v>
      </c>
      <c r="D34">
        <v>101298886</v>
      </c>
      <c r="E34" t="s">
        <v>1323</v>
      </c>
      <c r="F34" s="2" t="s">
        <v>1324</v>
      </c>
      <c r="H34" s="2"/>
    </row>
    <row r="35" spans="1:8" ht="15" customHeight="1" x14ac:dyDescent="0.3">
      <c r="A35" t="s">
        <v>32</v>
      </c>
      <c r="B35">
        <v>7486286</v>
      </c>
      <c r="C35" t="s">
        <v>46</v>
      </c>
      <c r="D35">
        <v>101298908</v>
      </c>
      <c r="E35" t="s">
        <v>1323</v>
      </c>
      <c r="F35" s="2" t="s">
        <v>1324</v>
      </c>
      <c r="H35" s="2"/>
    </row>
    <row r="36" spans="1:8" ht="15" customHeight="1" x14ac:dyDescent="0.3">
      <c r="A36" t="s">
        <v>32</v>
      </c>
      <c r="B36">
        <v>7486286</v>
      </c>
      <c r="C36" t="s">
        <v>47</v>
      </c>
      <c r="D36">
        <v>101298910</v>
      </c>
      <c r="E36" t="s">
        <v>1323</v>
      </c>
      <c r="F36" s="2" t="s">
        <v>1324</v>
      </c>
      <c r="H36" s="2"/>
    </row>
    <row r="37" spans="1:8" ht="15" customHeight="1" x14ac:dyDescent="0.3">
      <c r="A37" t="s">
        <v>32</v>
      </c>
      <c r="B37">
        <v>7486286</v>
      </c>
      <c r="C37" t="s">
        <v>31</v>
      </c>
      <c r="D37">
        <v>101294365</v>
      </c>
      <c r="E37" t="s">
        <v>1323</v>
      </c>
      <c r="F37" s="2" t="s">
        <v>1324</v>
      </c>
      <c r="H37" s="2"/>
    </row>
    <row r="38" spans="1:8" ht="15" customHeight="1" x14ac:dyDescent="0.3">
      <c r="A38" t="s">
        <v>32</v>
      </c>
      <c r="B38">
        <v>7486286</v>
      </c>
      <c r="C38" t="s">
        <v>1325</v>
      </c>
      <c r="D38">
        <v>101294365</v>
      </c>
      <c r="E38" t="s">
        <v>1323</v>
      </c>
      <c r="F38" s="2" t="s">
        <v>1324</v>
      </c>
      <c r="H38" s="2"/>
    </row>
    <row r="39" spans="1:8" ht="15" customHeight="1" x14ac:dyDescent="0.3">
      <c r="A39" t="s">
        <v>39</v>
      </c>
      <c r="B39">
        <v>534217</v>
      </c>
      <c r="C39" t="s">
        <v>38</v>
      </c>
      <c r="D39">
        <v>100924649</v>
      </c>
      <c r="E39" t="s">
        <v>1326</v>
      </c>
      <c r="F39" s="2" t="s">
        <v>1324</v>
      </c>
      <c r="H39" s="2"/>
    </row>
    <row r="40" spans="1:8" ht="15" customHeight="1" x14ac:dyDescent="0.3">
      <c r="A40" t="s">
        <v>122</v>
      </c>
      <c r="B40">
        <v>7438426</v>
      </c>
      <c r="C40" t="s">
        <v>283</v>
      </c>
      <c r="D40">
        <v>101240707</v>
      </c>
      <c r="E40" t="s">
        <v>1327</v>
      </c>
      <c r="F40" s="2" t="s">
        <v>1328</v>
      </c>
    </row>
    <row r="41" spans="1:8" ht="15" customHeight="1" x14ac:dyDescent="0.3">
      <c r="A41" t="s">
        <v>122</v>
      </c>
      <c r="B41">
        <v>7438426</v>
      </c>
      <c r="C41" t="s">
        <v>304</v>
      </c>
      <c r="D41">
        <v>100913315</v>
      </c>
      <c r="E41" t="s">
        <v>1327</v>
      </c>
      <c r="F41" s="2" t="s">
        <v>1328</v>
      </c>
    </row>
    <row r="42" spans="1:8" ht="15" customHeight="1" x14ac:dyDescent="0.3">
      <c r="A42" t="s">
        <v>122</v>
      </c>
      <c r="B42">
        <v>7438426</v>
      </c>
      <c r="C42" t="s">
        <v>283</v>
      </c>
      <c r="D42">
        <v>101240707</v>
      </c>
      <c r="E42" t="s">
        <v>1327</v>
      </c>
      <c r="F42" s="2" t="s">
        <v>1328</v>
      </c>
    </row>
    <row r="43" spans="1:8" ht="15" customHeight="1" x14ac:dyDescent="0.3">
      <c r="A43" t="s">
        <v>122</v>
      </c>
      <c r="B43">
        <v>7438426</v>
      </c>
      <c r="C43" t="s">
        <v>304</v>
      </c>
      <c r="D43">
        <v>100913315</v>
      </c>
      <c r="E43" t="s">
        <v>1327</v>
      </c>
      <c r="F43" s="2" t="s">
        <v>1328</v>
      </c>
    </row>
    <row r="44" spans="1:8" ht="15" customHeight="1" x14ac:dyDescent="0.3">
      <c r="A44" t="s">
        <v>499</v>
      </c>
      <c r="B44">
        <v>70050001</v>
      </c>
      <c r="C44" t="s">
        <v>672</v>
      </c>
      <c r="D44">
        <v>100278838</v>
      </c>
      <c r="E44" t="s">
        <v>1329</v>
      </c>
      <c r="F44" s="2" t="s">
        <v>1328</v>
      </c>
    </row>
    <row r="45" spans="1:8" ht="15" customHeight="1" x14ac:dyDescent="0.3">
      <c r="A45" t="s">
        <v>122</v>
      </c>
      <c r="B45">
        <v>7438426</v>
      </c>
      <c r="C45" t="s">
        <v>301</v>
      </c>
      <c r="D45">
        <v>101314847</v>
      </c>
      <c r="E45" t="s">
        <v>1327</v>
      </c>
      <c r="F45" s="2" t="s">
        <v>1328</v>
      </c>
    </row>
    <row r="46" spans="1:8" ht="15" customHeight="1" x14ac:dyDescent="0.3">
      <c r="A46" t="s">
        <v>122</v>
      </c>
      <c r="B46">
        <v>7438426</v>
      </c>
      <c r="C46" t="s">
        <v>310</v>
      </c>
      <c r="D46">
        <v>101314846</v>
      </c>
      <c r="E46" t="s">
        <v>1327</v>
      </c>
      <c r="F46" s="2" t="s">
        <v>1328</v>
      </c>
    </row>
    <row r="47" spans="1:8" ht="15" customHeight="1" x14ac:dyDescent="0.3">
      <c r="A47" t="s">
        <v>20</v>
      </c>
      <c r="B47">
        <v>530147</v>
      </c>
      <c r="C47" t="s">
        <v>33</v>
      </c>
      <c r="D47">
        <v>100919469</v>
      </c>
      <c r="E47" t="s">
        <v>1330</v>
      </c>
      <c r="F47" s="2" t="s">
        <v>1331</v>
      </c>
    </row>
    <row r="48" spans="1:8" ht="15" customHeight="1" x14ac:dyDescent="0.3">
      <c r="A48" t="s">
        <v>49</v>
      </c>
      <c r="B48">
        <v>7478385</v>
      </c>
      <c r="C48" t="s">
        <v>48</v>
      </c>
      <c r="D48">
        <v>101255923</v>
      </c>
      <c r="E48" t="s">
        <v>1332</v>
      </c>
      <c r="F48" s="2" t="s">
        <v>1331</v>
      </c>
    </row>
    <row r="49" spans="1:6" ht="15" customHeight="1" x14ac:dyDescent="0.3">
      <c r="A49" t="s">
        <v>22</v>
      </c>
      <c r="B49">
        <v>7464171</v>
      </c>
      <c r="C49" t="s">
        <v>21</v>
      </c>
      <c r="D49">
        <v>101216950</v>
      </c>
      <c r="E49" t="s">
        <v>1333</v>
      </c>
      <c r="F49" s="2" t="s">
        <v>1334</v>
      </c>
    </row>
    <row r="50" spans="1:6" ht="15" customHeight="1" x14ac:dyDescent="0.3">
      <c r="A50" t="s">
        <v>51</v>
      </c>
      <c r="B50">
        <v>7434304</v>
      </c>
      <c r="C50" t="s">
        <v>50</v>
      </c>
      <c r="D50">
        <v>101064484</v>
      </c>
      <c r="E50" t="s">
        <v>1335</v>
      </c>
      <c r="F50" s="2" t="s">
        <v>1336</v>
      </c>
    </row>
    <row r="51" spans="1:6" ht="15" customHeight="1" x14ac:dyDescent="0.3">
      <c r="A51" t="s">
        <v>53</v>
      </c>
      <c r="B51">
        <v>7410462</v>
      </c>
      <c r="C51" t="s">
        <v>52</v>
      </c>
      <c r="D51">
        <v>100971157</v>
      </c>
      <c r="E51" t="s">
        <v>1337</v>
      </c>
      <c r="F51" s="2" t="s">
        <v>1338</v>
      </c>
    </row>
    <row r="52" spans="1:6" ht="15" customHeight="1" x14ac:dyDescent="0.3">
      <c r="A52" t="s">
        <v>460</v>
      </c>
      <c r="B52">
        <v>508073</v>
      </c>
      <c r="C52" t="s">
        <v>486</v>
      </c>
      <c r="D52">
        <v>101203376</v>
      </c>
      <c r="E52" t="s">
        <v>1339</v>
      </c>
      <c r="F52" s="2" t="s">
        <v>1338</v>
      </c>
    </row>
    <row r="53" spans="1:6" ht="15" customHeight="1" x14ac:dyDescent="0.3">
      <c r="A53" t="s">
        <v>55</v>
      </c>
      <c r="B53">
        <v>7461854</v>
      </c>
      <c r="C53" t="s">
        <v>54</v>
      </c>
      <c r="D53">
        <v>101252641</v>
      </c>
      <c r="E53" t="s">
        <v>1335</v>
      </c>
      <c r="F53" s="2" t="s">
        <v>1340</v>
      </c>
    </row>
    <row r="54" spans="1:6" ht="15" customHeight="1" x14ac:dyDescent="0.3">
      <c r="A54" t="s">
        <v>32</v>
      </c>
      <c r="B54">
        <v>7486286</v>
      </c>
      <c r="C54" t="s">
        <v>42</v>
      </c>
      <c r="D54">
        <v>101298907</v>
      </c>
      <c r="E54" t="s">
        <v>1323</v>
      </c>
      <c r="F54" s="2" t="s">
        <v>1341</v>
      </c>
    </row>
    <row r="55" spans="1:6" ht="15" customHeight="1" x14ac:dyDescent="0.3">
      <c r="A55" t="s">
        <v>32</v>
      </c>
      <c r="B55">
        <v>7486286</v>
      </c>
      <c r="C55" t="s">
        <v>43</v>
      </c>
      <c r="D55">
        <v>101298902</v>
      </c>
      <c r="E55" t="s">
        <v>1323</v>
      </c>
      <c r="F55" s="2" t="s">
        <v>1341</v>
      </c>
    </row>
    <row r="56" spans="1:6" ht="15" customHeight="1" x14ac:dyDescent="0.3">
      <c r="A56" t="s">
        <v>32</v>
      </c>
      <c r="B56">
        <v>7486286</v>
      </c>
      <c r="C56" t="s">
        <v>44</v>
      </c>
      <c r="D56">
        <v>101298909</v>
      </c>
      <c r="E56" t="s">
        <v>1323</v>
      </c>
      <c r="F56" s="2" t="s">
        <v>1341</v>
      </c>
    </row>
    <row r="57" spans="1:6" ht="15" customHeight="1" x14ac:dyDescent="0.3">
      <c r="A57" t="s">
        <v>32</v>
      </c>
      <c r="B57">
        <v>7486286</v>
      </c>
      <c r="C57" t="s">
        <v>45</v>
      </c>
      <c r="D57">
        <v>101298886</v>
      </c>
      <c r="E57" t="s">
        <v>1323</v>
      </c>
      <c r="F57" s="2" t="s">
        <v>1341</v>
      </c>
    </row>
    <row r="58" spans="1:6" ht="15" customHeight="1" x14ac:dyDescent="0.3">
      <c r="A58" t="s">
        <v>32</v>
      </c>
      <c r="B58">
        <v>7486286</v>
      </c>
      <c r="C58" t="s">
        <v>46</v>
      </c>
      <c r="D58">
        <v>101298908</v>
      </c>
      <c r="E58" t="s">
        <v>1323</v>
      </c>
      <c r="F58" s="2" t="s">
        <v>1341</v>
      </c>
    </row>
    <row r="59" spans="1:6" ht="15" customHeight="1" x14ac:dyDescent="0.3">
      <c r="A59" t="s">
        <v>32</v>
      </c>
      <c r="B59">
        <v>7486286</v>
      </c>
      <c r="C59" t="s">
        <v>47</v>
      </c>
      <c r="D59">
        <v>101298910</v>
      </c>
      <c r="E59" t="s">
        <v>1323</v>
      </c>
      <c r="F59" s="2" t="s">
        <v>1341</v>
      </c>
    </row>
    <row r="60" spans="1:6" ht="15" customHeight="1" x14ac:dyDescent="0.3">
      <c r="A60" t="s">
        <v>32</v>
      </c>
      <c r="B60">
        <v>7486286</v>
      </c>
      <c r="C60" t="s">
        <v>31</v>
      </c>
      <c r="D60">
        <v>101294365</v>
      </c>
      <c r="E60" t="s">
        <v>1323</v>
      </c>
      <c r="F60" s="2" t="s">
        <v>1341</v>
      </c>
    </row>
    <row r="61" spans="1:6" ht="15" customHeight="1" x14ac:dyDescent="0.3">
      <c r="A61" t="s">
        <v>32</v>
      </c>
      <c r="B61">
        <v>7486286</v>
      </c>
      <c r="C61" t="s">
        <v>1325</v>
      </c>
      <c r="D61">
        <v>101294365</v>
      </c>
      <c r="E61" t="s">
        <v>1323</v>
      </c>
      <c r="F61" s="2" t="s">
        <v>1341</v>
      </c>
    </row>
    <row r="62" spans="1:6" ht="15" customHeight="1" x14ac:dyDescent="0.3">
      <c r="A62" t="s">
        <v>1312</v>
      </c>
      <c r="B62">
        <v>7465932</v>
      </c>
      <c r="C62" t="s">
        <v>913</v>
      </c>
      <c r="D62">
        <v>101212756</v>
      </c>
      <c r="E62" t="s">
        <v>1342</v>
      </c>
      <c r="F62" s="2" t="s">
        <v>1341</v>
      </c>
    </row>
    <row r="63" spans="1:6" ht="15" customHeight="1" x14ac:dyDescent="0.3">
      <c r="A63" t="s">
        <v>30</v>
      </c>
      <c r="B63">
        <v>506398</v>
      </c>
      <c r="C63" t="s">
        <v>29</v>
      </c>
      <c r="D63">
        <v>100899593</v>
      </c>
      <c r="E63" t="s">
        <v>1343</v>
      </c>
      <c r="F63" s="2" t="s">
        <v>1344</v>
      </c>
    </row>
    <row r="64" spans="1:6" ht="15" customHeight="1" x14ac:dyDescent="0.3">
      <c r="A64" t="s">
        <v>57</v>
      </c>
      <c r="B64">
        <v>7467067</v>
      </c>
      <c r="C64" t="s">
        <v>56</v>
      </c>
      <c r="D64">
        <v>101290610</v>
      </c>
      <c r="E64" t="s">
        <v>1318</v>
      </c>
      <c r="F64" s="2" t="s">
        <v>1345</v>
      </c>
    </row>
    <row r="65" spans="1:8" ht="15" customHeight="1" x14ac:dyDescent="0.3">
      <c r="A65" t="s">
        <v>57</v>
      </c>
      <c r="B65">
        <v>7467067</v>
      </c>
      <c r="C65" t="s">
        <v>58</v>
      </c>
      <c r="D65">
        <v>101216956</v>
      </c>
      <c r="E65" t="s">
        <v>1318</v>
      </c>
      <c r="F65" s="2" t="s">
        <v>1345</v>
      </c>
    </row>
    <row r="66" spans="1:8" ht="15" customHeight="1" x14ac:dyDescent="0.3">
      <c r="A66" t="s">
        <v>57</v>
      </c>
      <c r="B66">
        <v>7467067</v>
      </c>
      <c r="C66" t="s">
        <v>59</v>
      </c>
      <c r="D66">
        <v>101238446</v>
      </c>
      <c r="E66" t="s">
        <v>1318</v>
      </c>
      <c r="F66" s="2" t="s">
        <v>1345</v>
      </c>
    </row>
    <row r="67" spans="1:8" ht="15" customHeight="1" x14ac:dyDescent="0.3">
      <c r="A67" t="s">
        <v>20</v>
      </c>
      <c r="B67">
        <v>530147</v>
      </c>
      <c r="C67" t="s">
        <v>60</v>
      </c>
      <c r="D67">
        <v>100919470</v>
      </c>
      <c r="E67" t="s">
        <v>1318</v>
      </c>
      <c r="F67" s="2" t="s">
        <v>1345</v>
      </c>
    </row>
    <row r="68" spans="1:8" ht="15" customHeight="1" x14ac:dyDescent="0.3">
      <c r="A68" t="s">
        <v>62</v>
      </c>
      <c r="B68">
        <v>535466</v>
      </c>
      <c r="C68" t="s">
        <v>61</v>
      </c>
      <c r="D68">
        <v>100926333</v>
      </c>
      <c r="E68" t="s">
        <v>1318</v>
      </c>
      <c r="F68" s="2" t="s">
        <v>1345</v>
      </c>
    </row>
    <row r="69" spans="1:8" ht="15" customHeight="1" x14ac:dyDescent="0.3">
      <c r="A69" t="s">
        <v>62</v>
      </c>
      <c r="B69">
        <v>535466</v>
      </c>
      <c r="C69" t="s">
        <v>63</v>
      </c>
      <c r="D69">
        <v>101296668</v>
      </c>
      <c r="E69" t="s">
        <v>1318</v>
      </c>
      <c r="F69" s="2" t="s">
        <v>1345</v>
      </c>
    </row>
    <row r="70" spans="1:8" ht="15" customHeight="1" x14ac:dyDescent="0.3">
      <c r="A70" t="s">
        <v>20</v>
      </c>
      <c r="B70">
        <v>530147</v>
      </c>
      <c r="C70" t="s">
        <v>33</v>
      </c>
      <c r="D70">
        <v>100919469</v>
      </c>
      <c r="E70" t="s">
        <v>1318</v>
      </c>
      <c r="F70" s="2" t="s">
        <v>1345</v>
      </c>
    </row>
    <row r="71" spans="1:8" ht="15" customHeight="1" x14ac:dyDescent="0.3">
      <c r="A71" t="s">
        <v>24</v>
      </c>
      <c r="B71">
        <v>532951</v>
      </c>
      <c r="C71" t="s">
        <v>64</v>
      </c>
      <c r="D71">
        <v>101314850</v>
      </c>
      <c r="E71" t="s">
        <v>1346</v>
      </c>
      <c r="F71" s="2" t="s">
        <v>1347</v>
      </c>
    </row>
    <row r="72" spans="1:8" ht="15" customHeight="1" x14ac:dyDescent="0.3">
      <c r="A72" t="s">
        <v>122</v>
      </c>
      <c r="B72">
        <v>7438426</v>
      </c>
      <c r="C72" t="s">
        <v>283</v>
      </c>
      <c r="D72">
        <v>101240707</v>
      </c>
      <c r="E72" t="s">
        <v>1348</v>
      </c>
      <c r="F72" s="2" t="s">
        <v>1349</v>
      </c>
      <c r="G72" t="s">
        <v>1349</v>
      </c>
      <c r="H72" t="s">
        <v>7</v>
      </c>
    </row>
    <row r="73" spans="1:8" ht="15" customHeight="1" x14ac:dyDescent="0.3">
      <c r="A73" t="s">
        <v>407</v>
      </c>
      <c r="B73">
        <v>7439496</v>
      </c>
      <c r="C73" t="s">
        <v>424</v>
      </c>
      <c r="D73">
        <v>101264894</v>
      </c>
      <c r="E73" t="s">
        <v>1323</v>
      </c>
      <c r="F73" s="2">
        <v>11182021</v>
      </c>
      <c r="G73">
        <v>11182021</v>
      </c>
      <c r="H73" t="s">
        <v>1350</v>
      </c>
    </row>
    <row r="74" spans="1:8" ht="15" customHeight="1" x14ac:dyDescent="0.3">
      <c r="A74" t="s">
        <v>407</v>
      </c>
      <c r="B74">
        <v>7439496</v>
      </c>
      <c r="C74" t="s">
        <v>1089</v>
      </c>
      <c r="D74">
        <v>101266274</v>
      </c>
      <c r="E74" t="s">
        <v>1323</v>
      </c>
      <c r="F74" s="2">
        <v>11182021</v>
      </c>
      <c r="G74">
        <v>11182021</v>
      </c>
      <c r="H74" t="s">
        <v>1350</v>
      </c>
    </row>
    <row r="75" spans="1:8" ht="15" customHeight="1" x14ac:dyDescent="0.3">
      <c r="A75" t="s">
        <v>407</v>
      </c>
      <c r="B75">
        <v>7439496</v>
      </c>
      <c r="C75" t="s">
        <v>1351</v>
      </c>
      <c r="D75">
        <v>101266275</v>
      </c>
      <c r="E75" t="s">
        <v>1323</v>
      </c>
      <c r="F75" s="2">
        <v>11182021</v>
      </c>
      <c r="G75">
        <v>11182021</v>
      </c>
      <c r="H75" t="s">
        <v>1350</v>
      </c>
    </row>
    <row r="76" spans="1:8" ht="15" customHeight="1" x14ac:dyDescent="0.3">
      <c r="A76" t="s">
        <v>407</v>
      </c>
      <c r="B76">
        <v>7439496</v>
      </c>
      <c r="C76" t="s">
        <v>1352</v>
      </c>
      <c r="D76">
        <v>101266276</v>
      </c>
      <c r="E76" t="s">
        <v>1323</v>
      </c>
      <c r="F76" s="2">
        <v>11182021</v>
      </c>
      <c r="G76">
        <v>11182021</v>
      </c>
      <c r="H76" t="s">
        <v>1350</v>
      </c>
    </row>
    <row r="77" spans="1:8" ht="15" customHeight="1" x14ac:dyDescent="0.3">
      <c r="A77" t="s">
        <v>407</v>
      </c>
      <c r="B77">
        <v>7439496</v>
      </c>
      <c r="C77" t="s">
        <v>1353</v>
      </c>
      <c r="D77">
        <v>101266277</v>
      </c>
      <c r="E77" t="s">
        <v>1323</v>
      </c>
      <c r="F77" s="2">
        <v>11182021</v>
      </c>
      <c r="G77">
        <v>11182021</v>
      </c>
      <c r="H77" t="s">
        <v>1350</v>
      </c>
    </row>
    <row r="78" spans="1:8" ht="15" customHeight="1" x14ac:dyDescent="0.3">
      <c r="A78" t="s">
        <v>407</v>
      </c>
      <c r="B78">
        <v>7439496</v>
      </c>
      <c r="C78" t="s">
        <v>1136</v>
      </c>
      <c r="D78">
        <v>101266278</v>
      </c>
      <c r="E78" t="s">
        <v>1323</v>
      </c>
      <c r="F78" s="2">
        <v>11182021</v>
      </c>
      <c r="G78">
        <v>11182021</v>
      </c>
      <c r="H78" t="s">
        <v>1350</v>
      </c>
    </row>
    <row r="79" spans="1:8" ht="15" customHeight="1" x14ac:dyDescent="0.3">
      <c r="A79" t="s">
        <v>407</v>
      </c>
      <c r="B79">
        <v>7439496</v>
      </c>
      <c r="C79" t="s">
        <v>1354</v>
      </c>
      <c r="D79">
        <v>101266291</v>
      </c>
      <c r="E79" t="s">
        <v>1323</v>
      </c>
      <c r="F79" s="2">
        <v>11182021</v>
      </c>
      <c r="G79">
        <v>11182021</v>
      </c>
      <c r="H79" t="s">
        <v>1350</v>
      </c>
    </row>
    <row r="80" spans="1:8" ht="15" customHeight="1" x14ac:dyDescent="0.3">
      <c r="A80" t="s">
        <v>407</v>
      </c>
      <c r="B80">
        <v>7439496</v>
      </c>
      <c r="C80" t="s">
        <v>1091</v>
      </c>
      <c r="D80">
        <v>101266280</v>
      </c>
      <c r="E80" t="s">
        <v>1323</v>
      </c>
      <c r="F80" s="2">
        <v>11182021</v>
      </c>
      <c r="G80">
        <v>11182021</v>
      </c>
      <c r="H80" t="s">
        <v>1350</v>
      </c>
    </row>
    <row r="81" spans="1:8" ht="15" customHeight="1" x14ac:dyDescent="0.3">
      <c r="A81" t="s">
        <v>407</v>
      </c>
      <c r="B81">
        <v>7439496</v>
      </c>
      <c r="C81" t="s">
        <v>1355</v>
      </c>
      <c r="D81">
        <v>101266281</v>
      </c>
      <c r="E81" t="s">
        <v>1323</v>
      </c>
      <c r="F81" s="2">
        <v>11182021</v>
      </c>
      <c r="G81">
        <v>11182021</v>
      </c>
      <c r="H81" t="s">
        <v>1350</v>
      </c>
    </row>
    <row r="82" spans="1:8" ht="15" customHeight="1" x14ac:dyDescent="0.3">
      <c r="A82" t="s">
        <v>407</v>
      </c>
      <c r="B82">
        <v>7439496</v>
      </c>
      <c r="C82" t="s">
        <v>1169</v>
      </c>
      <c r="D82">
        <v>101266282</v>
      </c>
      <c r="E82" t="s">
        <v>1323</v>
      </c>
      <c r="F82" s="2">
        <v>11182021</v>
      </c>
      <c r="G82">
        <v>11182021</v>
      </c>
      <c r="H82" t="s">
        <v>1350</v>
      </c>
    </row>
    <row r="83" spans="1:8" ht="15" customHeight="1" x14ac:dyDescent="0.3">
      <c r="A83" t="s">
        <v>407</v>
      </c>
      <c r="B83">
        <v>7439496</v>
      </c>
      <c r="C83" t="s">
        <v>1155</v>
      </c>
      <c r="D83">
        <v>101266283</v>
      </c>
      <c r="E83" t="s">
        <v>1323</v>
      </c>
      <c r="F83" s="2">
        <v>11182021</v>
      </c>
      <c r="G83">
        <v>11182021</v>
      </c>
      <c r="H83" t="s">
        <v>1350</v>
      </c>
    </row>
    <row r="84" spans="1:8" ht="15" customHeight="1" x14ac:dyDescent="0.3">
      <c r="A84" t="s">
        <v>407</v>
      </c>
      <c r="B84">
        <v>7439496</v>
      </c>
      <c r="C84" t="s">
        <v>1356</v>
      </c>
      <c r="D84">
        <v>101266284</v>
      </c>
      <c r="E84" t="s">
        <v>1323</v>
      </c>
      <c r="F84" s="2">
        <v>11182021</v>
      </c>
      <c r="G84">
        <v>11182021</v>
      </c>
      <c r="H84" t="s">
        <v>1350</v>
      </c>
    </row>
    <row r="85" spans="1:8" ht="15" customHeight="1" x14ac:dyDescent="0.3">
      <c r="A85" t="s">
        <v>407</v>
      </c>
      <c r="B85">
        <v>7439496</v>
      </c>
      <c r="C85" t="s">
        <v>1357</v>
      </c>
      <c r="D85">
        <v>101266286</v>
      </c>
      <c r="E85" t="s">
        <v>1323</v>
      </c>
      <c r="F85" s="2">
        <v>11182021</v>
      </c>
      <c r="G85">
        <v>11182021</v>
      </c>
      <c r="H85" t="s">
        <v>1350</v>
      </c>
    </row>
    <row r="86" spans="1:8" ht="15" customHeight="1" x14ac:dyDescent="0.3">
      <c r="A86" t="s">
        <v>407</v>
      </c>
      <c r="B86">
        <v>7439496</v>
      </c>
      <c r="C86" t="s">
        <v>1358</v>
      </c>
      <c r="D86">
        <v>101266287</v>
      </c>
      <c r="E86" t="s">
        <v>1323</v>
      </c>
      <c r="F86" s="2">
        <v>11182021</v>
      </c>
      <c r="G86">
        <v>11182021</v>
      </c>
      <c r="H86" t="s">
        <v>1350</v>
      </c>
    </row>
    <row r="87" spans="1:8" ht="15" customHeight="1" x14ac:dyDescent="0.3">
      <c r="A87" t="s">
        <v>407</v>
      </c>
      <c r="B87">
        <v>7439496</v>
      </c>
      <c r="C87" t="s">
        <v>1359</v>
      </c>
      <c r="D87">
        <v>101266288</v>
      </c>
      <c r="E87" t="s">
        <v>1323</v>
      </c>
      <c r="F87" s="2">
        <v>11182021</v>
      </c>
      <c r="G87">
        <v>11182021</v>
      </c>
      <c r="H87" t="s">
        <v>1350</v>
      </c>
    </row>
    <row r="88" spans="1:8" ht="15" customHeight="1" x14ac:dyDescent="0.3">
      <c r="A88" t="s">
        <v>407</v>
      </c>
      <c r="B88">
        <v>7439496</v>
      </c>
      <c r="C88" t="s">
        <v>1360</v>
      </c>
      <c r="D88">
        <v>101266289</v>
      </c>
      <c r="E88" t="s">
        <v>1323</v>
      </c>
      <c r="F88" s="2">
        <v>11182021</v>
      </c>
      <c r="G88">
        <v>11182021</v>
      </c>
      <c r="H88" t="s">
        <v>1350</v>
      </c>
    </row>
    <row r="89" spans="1:8" ht="15" customHeight="1" x14ac:dyDescent="0.3">
      <c r="A89" t="s">
        <v>407</v>
      </c>
      <c r="B89">
        <v>7439496</v>
      </c>
      <c r="C89" t="s">
        <v>1361</v>
      </c>
      <c r="D89">
        <v>101266290</v>
      </c>
      <c r="E89" t="s">
        <v>1323</v>
      </c>
      <c r="F89" s="2">
        <v>11182021</v>
      </c>
      <c r="G89">
        <v>11182021</v>
      </c>
      <c r="H89" t="s">
        <v>1350</v>
      </c>
    </row>
    <row r="90" spans="1:8" ht="15" customHeight="1" x14ac:dyDescent="0.3">
      <c r="A90" t="s">
        <v>407</v>
      </c>
      <c r="B90">
        <v>7439496</v>
      </c>
      <c r="C90" t="s">
        <v>432</v>
      </c>
      <c r="D90">
        <v>101266015</v>
      </c>
      <c r="E90" t="s">
        <v>1323</v>
      </c>
      <c r="F90" s="2">
        <v>11182021</v>
      </c>
      <c r="G90">
        <v>11182021</v>
      </c>
      <c r="H90" t="s">
        <v>1350</v>
      </c>
    </row>
    <row r="91" spans="1:8" ht="15" customHeight="1" x14ac:dyDescent="0.3">
      <c r="A91" t="s">
        <v>1312</v>
      </c>
      <c r="B91">
        <v>7465932</v>
      </c>
      <c r="C91" t="s">
        <v>913</v>
      </c>
      <c r="D91">
        <v>101212756</v>
      </c>
      <c r="E91" t="s">
        <v>1362</v>
      </c>
      <c r="F91" s="2">
        <v>11212021</v>
      </c>
      <c r="G91">
        <v>11212021</v>
      </c>
      <c r="H91" t="s">
        <v>1363</v>
      </c>
    </row>
    <row r="92" spans="1:8" ht="15" customHeight="1" x14ac:dyDescent="0.3">
      <c r="A92" t="s">
        <v>122</v>
      </c>
      <c r="B92">
        <v>7438426</v>
      </c>
      <c r="C92" t="s">
        <v>283</v>
      </c>
      <c r="D92">
        <v>101240707</v>
      </c>
      <c r="E92" t="s">
        <v>1364</v>
      </c>
      <c r="F92" s="2">
        <v>12022021</v>
      </c>
      <c r="G92">
        <v>12022021</v>
      </c>
      <c r="H92" t="s">
        <v>1365</v>
      </c>
    </row>
    <row r="93" spans="1:8" ht="15" customHeight="1" x14ac:dyDescent="0.3">
      <c r="A93" t="s">
        <v>407</v>
      </c>
      <c r="B93">
        <v>7439496</v>
      </c>
      <c r="C93" t="s">
        <v>424</v>
      </c>
      <c r="D93">
        <v>101264894</v>
      </c>
      <c r="E93" t="s">
        <v>1366</v>
      </c>
      <c r="F93" s="2">
        <v>12032021</v>
      </c>
      <c r="G93">
        <v>12032021</v>
      </c>
      <c r="H93" t="s">
        <v>1367</v>
      </c>
    </row>
    <row r="94" spans="1:8" ht="15" customHeight="1" x14ac:dyDescent="0.3">
      <c r="A94" t="s">
        <v>55</v>
      </c>
      <c r="B94">
        <v>7461854</v>
      </c>
      <c r="C94" t="s">
        <v>1358</v>
      </c>
      <c r="D94">
        <v>101189848</v>
      </c>
      <c r="E94" t="s">
        <v>1368</v>
      </c>
      <c r="F94" s="2">
        <v>12062021</v>
      </c>
      <c r="G94">
        <v>12062021</v>
      </c>
      <c r="H94" t="s">
        <v>1369</v>
      </c>
    </row>
    <row r="95" spans="1:8" ht="15" customHeight="1" x14ac:dyDescent="0.3">
      <c r="A95" t="s">
        <v>55</v>
      </c>
      <c r="B95">
        <v>7461854</v>
      </c>
      <c r="C95" t="s">
        <v>1370</v>
      </c>
      <c r="D95">
        <v>101244634</v>
      </c>
      <c r="E95" t="s">
        <v>1368</v>
      </c>
      <c r="F95" s="2">
        <v>12062021</v>
      </c>
      <c r="G95">
        <v>12062021</v>
      </c>
      <c r="H95" t="s">
        <v>1369</v>
      </c>
    </row>
    <row r="96" spans="1:8" ht="15" customHeight="1" x14ac:dyDescent="0.3">
      <c r="A96" t="s">
        <v>26</v>
      </c>
      <c r="C96" t="s">
        <v>25</v>
      </c>
      <c r="D96">
        <v>100895677</v>
      </c>
      <c r="E96" t="s">
        <v>1371</v>
      </c>
      <c r="F96" s="2">
        <v>12062021</v>
      </c>
      <c r="G96">
        <v>12062021</v>
      </c>
      <c r="H96" t="s">
        <v>1372</v>
      </c>
    </row>
    <row r="97" spans="1:8" ht="15" customHeight="1" x14ac:dyDescent="0.3">
      <c r="A97" t="s">
        <v>407</v>
      </c>
      <c r="B97">
        <v>7439496</v>
      </c>
      <c r="C97" t="s">
        <v>424</v>
      </c>
      <c r="D97">
        <v>101264894</v>
      </c>
      <c r="E97" t="s">
        <v>1373</v>
      </c>
      <c r="F97" s="2">
        <v>12062021</v>
      </c>
      <c r="G97">
        <v>12062021</v>
      </c>
      <c r="H97" t="s">
        <v>1374</v>
      </c>
    </row>
    <row r="98" spans="1:8" ht="15" customHeight="1" x14ac:dyDescent="0.3">
      <c r="A98" t="s">
        <v>68</v>
      </c>
      <c r="B98">
        <v>7477816</v>
      </c>
      <c r="C98" t="s">
        <v>67</v>
      </c>
      <c r="D98">
        <v>101253650</v>
      </c>
      <c r="E98" t="s">
        <v>1375</v>
      </c>
      <c r="F98" s="2">
        <v>12092021</v>
      </c>
      <c r="G98">
        <v>12092021</v>
      </c>
      <c r="H98" t="s">
        <v>1376</v>
      </c>
    </row>
    <row r="99" spans="1:8" ht="15" customHeight="1" x14ac:dyDescent="0.3">
      <c r="A99" t="s">
        <v>70</v>
      </c>
      <c r="B99">
        <v>7460691</v>
      </c>
      <c r="C99" t="s">
        <v>69</v>
      </c>
      <c r="D99">
        <v>101266580</v>
      </c>
      <c r="E99" t="s">
        <v>1377</v>
      </c>
      <c r="F99" s="2">
        <v>12092021</v>
      </c>
      <c r="G99">
        <v>12092021</v>
      </c>
      <c r="H99" t="s">
        <v>1378</v>
      </c>
    </row>
    <row r="100" spans="1:8" ht="15" customHeight="1" x14ac:dyDescent="0.3">
      <c r="A100" t="s">
        <v>72</v>
      </c>
      <c r="B100">
        <v>7476358</v>
      </c>
      <c r="C100" t="s">
        <v>71</v>
      </c>
      <c r="D100">
        <v>101266578</v>
      </c>
      <c r="E100" t="s">
        <v>1379</v>
      </c>
      <c r="F100" s="2">
        <v>12102021</v>
      </c>
      <c r="G100">
        <v>12102021</v>
      </c>
      <c r="H100" t="s">
        <v>1380</v>
      </c>
    </row>
    <row r="101" spans="1:8" ht="15" customHeight="1" x14ac:dyDescent="0.3">
      <c r="A101" t="s">
        <v>933</v>
      </c>
      <c r="B101">
        <v>502003</v>
      </c>
      <c r="C101" t="s">
        <v>1028</v>
      </c>
      <c r="D101">
        <v>101025349</v>
      </c>
      <c r="E101" t="s">
        <v>1381</v>
      </c>
      <c r="F101" s="2">
        <v>12102021</v>
      </c>
      <c r="G101">
        <v>12102021</v>
      </c>
      <c r="H101" t="s">
        <v>1382</v>
      </c>
    </row>
    <row r="102" spans="1:8" ht="15" customHeight="1" x14ac:dyDescent="0.3">
      <c r="A102" t="s">
        <v>407</v>
      </c>
      <c r="B102">
        <v>7439496</v>
      </c>
      <c r="C102" t="s">
        <v>424</v>
      </c>
      <c r="D102">
        <v>101264894</v>
      </c>
      <c r="E102" t="s">
        <v>1383</v>
      </c>
      <c r="F102" s="2">
        <v>12142021</v>
      </c>
      <c r="G102">
        <v>12142021</v>
      </c>
      <c r="H102" t="s">
        <v>1384</v>
      </c>
    </row>
    <row r="103" spans="1:8" ht="15" customHeight="1" x14ac:dyDescent="0.3">
      <c r="A103" t="s">
        <v>74</v>
      </c>
      <c r="B103">
        <v>7480788</v>
      </c>
      <c r="C103" t="s">
        <v>73</v>
      </c>
      <c r="D103">
        <v>101266537</v>
      </c>
      <c r="E103" t="s">
        <v>1385</v>
      </c>
      <c r="F103" s="2">
        <v>12142021</v>
      </c>
      <c r="G103">
        <v>12142021</v>
      </c>
      <c r="H103" t="s">
        <v>1386</v>
      </c>
    </row>
    <row r="104" spans="1:8" ht="15" customHeight="1" x14ac:dyDescent="0.3">
      <c r="A104" t="s">
        <v>72</v>
      </c>
      <c r="B104">
        <v>7476358</v>
      </c>
      <c r="C104" t="s">
        <v>71</v>
      </c>
      <c r="D104">
        <v>101266578</v>
      </c>
      <c r="E104" t="s">
        <v>1379</v>
      </c>
      <c r="F104" s="2">
        <v>12152021</v>
      </c>
      <c r="G104">
        <v>12152021</v>
      </c>
      <c r="H104" t="s">
        <v>1387</v>
      </c>
    </row>
    <row r="105" spans="1:8" ht="15" customHeight="1" x14ac:dyDescent="0.3">
      <c r="A105" t="s">
        <v>460</v>
      </c>
      <c r="B105">
        <v>508073</v>
      </c>
      <c r="C105" t="s">
        <v>470</v>
      </c>
      <c r="D105">
        <v>101203378</v>
      </c>
      <c r="E105" t="s">
        <v>1388</v>
      </c>
      <c r="F105" s="2">
        <v>12152021</v>
      </c>
      <c r="G105">
        <v>12152021</v>
      </c>
      <c r="H105" t="s">
        <v>1389</v>
      </c>
    </row>
    <row r="106" spans="1:8" ht="15" customHeight="1" x14ac:dyDescent="0.3">
      <c r="A106" t="s">
        <v>55</v>
      </c>
      <c r="B106">
        <v>7461854</v>
      </c>
      <c r="C106" t="s">
        <v>1358</v>
      </c>
      <c r="D106">
        <v>101189848</v>
      </c>
      <c r="E106" t="s">
        <v>1390</v>
      </c>
      <c r="F106" s="2" t="s">
        <v>1391</v>
      </c>
      <c r="H106" t="s">
        <v>7</v>
      </c>
    </row>
    <row r="107" spans="1:8" ht="15" customHeight="1" x14ac:dyDescent="0.3">
      <c r="A107" t="s">
        <v>55</v>
      </c>
      <c r="B107">
        <v>7461854</v>
      </c>
      <c r="C107" t="s">
        <v>1370</v>
      </c>
      <c r="D107">
        <v>101244634</v>
      </c>
      <c r="E107" t="s">
        <v>1390</v>
      </c>
      <c r="F107" s="2" t="s">
        <v>1391</v>
      </c>
      <c r="H107" t="s">
        <v>7</v>
      </c>
    </row>
    <row r="108" spans="1:8" ht="15" customHeight="1" x14ac:dyDescent="0.3">
      <c r="A108" t="s">
        <v>55</v>
      </c>
      <c r="B108">
        <v>7461854</v>
      </c>
      <c r="C108" t="s">
        <v>54</v>
      </c>
      <c r="D108">
        <v>101252641</v>
      </c>
      <c r="E108" t="s">
        <v>1390</v>
      </c>
      <c r="F108" s="2" t="s">
        <v>1391</v>
      </c>
    </row>
    <row r="109" spans="1:8" ht="15" customHeight="1" x14ac:dyDescent="0.3">
      <c r="A109" t="s">
        <v>460</v>
      </c>
      <c r="B109">
        <v>508073</v>
      </c>
      <c r="C109" t="s">
        <v>486</v>
      </c>
      <c r="D109">
        <v>101203376</v>
      </c>
      <c r="E109" t="s">
        <v>1392</v>
      </c>
      <c r="F109" s="2" t="s">
        <v>1393</v>
      </c>
    </row>
    <row r="110" spans="1:8" ht="15" customHeight="1" x14ac:dyDescent="0.3">
      <c r="A110" t="s">
        <v>460</v>
      </c>
      <c r="B110">
        <v>508073</v>
      </c>
      <c r="C110" t="s">
        <v>496</v>
      </c>
      <c r="D110">
        <v>101328097</v>
      </c>
      <c r="E110" t="s">
        <v>1392</v>
      </c>
      <c r="F110" s="2" t="s">
        <v>1393</v>
      </c>
    </row>
    <row r="111" spans="1:8" ht="15" customHeight="1" x14ac:dyDescent="0.3">
      <c r="A111" t="s">
        <v>933</v>
      </c>
      <c r="B111">
        <v>502003</v>
      </c>
      <c r="C111" t="s">
        <v>1028</v>
      </c>
      <c r="D111">
        <v>101025349</v>
      </c>
      <c r="E111" t="s">
        <v>1394</v>
      </c>
      <c r="F111" s="2" t="s">
        <v>1395</v>
      </c>
    </row>
    <row r="112" spans="1:8" ht="15" customHeight="1" x14ac:dyDescent="0.3">
      <c r="A112" t="s">
        <v>933</v>
      </c>
      <c r="B112">
        <v>502003</v>
      </c>
      <c r="C112" t="s">
        <v>1396</v>
      </c>
      <c r="D112">
        <v>101017141</v>
      </c>
      <c r="E112" t="s">
        <v>1394</v>
      </c>
      <c r="F112" s="2" t="s">
        <v>1395</v>
      </c>
    </row>
    <row r="113" spans="1:6" ht="15" customHeight="1" x14ac:dyDescent="0.3">
      <c r="A113" t="s">
        <v>933</v>
      </c>
      <c r="B113">
        <v>502003</v>
      </c>
      <c r="C113" t="s">
        <v>1031</v>
      </c>
      <c r="D113">
        <v>101177909</v>
      </c>
      <c r="E113" t="s">
        <v>1394</v>
      </c>
      <c r="F113" s="2" t="s">
        <v>1395</v>
      </c>
    </row>
    <row r="114" spans="1:6" ht="15" customHeight="1" x14ac:dyDescent="0.3">
      <c r="A114" t="s">
        <v>933</v>
      </c>
      <c r="B114">
        <v>502003</v>
      </c>
      <c r="C114" t="s">
        <v>1025</v>
      </c>
      <c r="D114">
        <v>101224170</v>
      </c>
      <c r="E114" t="s">
        <v>1394</v>
      </c>
      <c r="F114" s="2" t="s">
        <v>1395</v>
      </c>
    </row>
    <row r="115" spans="1:6" ht="15" customHeight="1" x14ac:dyDescent="0.3">
      <c r="A115" t="s">
        <v>933</v>
      </c>
      <c r="B115">
        <v>502003</v>
      </c>
      <c r="C115" t="s">
        <v>1020</v>
      </c>
      <c r="D115">
        <v>101211814</v>
      </c>
      <c r="E115" t="s">
        <v>1394</v>
      </c>
      <c r="F115" s="2" t="s">
        <v>1395</v>
      </c>
    </row>
    <row r="116" spans="1:6" ht="15" customHeight="1" x14ac:dyDescent="0.3">
      <c r="A116" t="s">
        <v>933</v>
      </c>
      <c r="B116">
        <v>502003</v>
      </c>
      <c r="C116" t="s">
        <v>932</v>
      </c>
      <c r="D116">
        <v>101053635</v>
      </c>
      <c r="E116" t="s">
        <v>1397</v>
      </c>
      <c r="F116" s="2" t="s">
        <v>1398</v>
      </c>
    </row>
    <row r="117" spans="1:6" ht="15" customHeight="1" x14ac:dyDescent="0.3">
      <c r="A117" t="s">
        <v>933</v>
      </c>
      <c r="B117">
        <v>502003</v>
      </c>
      <c r="C117" t="s">
        <v>936</v>
      </c>
      <c r="D117">
        <v>101020294</v>
      </c>
      <c r="E117" t="s">
        <v>1394</v>
      </c>
      <c r="F117" s="2" t="s">
        <v>1395</v>
      </c>
    </row>
    <row r="118" spans="1:6" ht="15" customHeight="1" x14ac:dyDescent="0.3">
      <c r="A118" t="s">
        <v>933</v>
      </c>
      <c r="B118">
        <v>502003</v>
      </c>
      <c r="C118" t="s">
        <v>1399</v>
      </c>
      <c r="D118">
        <v>101288347</v>
      </c>
      <c r="E118" t="s">
        <v>1397</v>
      </c>
      <c r="F118" s="2" t="s">
        <v>1398</v>
      </c>
    </row>
    <row r="119" spans="1:6" ht="15" customHeight="1" x14ac:dyDescent="0.3">
      <c r="A119" t="s">
        <v>933</v>
      </c>
      <c r="B119">
        <v>502003</v>
      </c>
      <c r="C119" t="s">
        <v>946</v>
      </c>
      <c r="D119">
        <v>101235176</v>
      </c>
      <c r="E119" t="s">
        <v>1397</v>
      </c>
      <c r="F119" s="2" t="s">
        <v>1398</v>
      </c>
    </row>
    <row r="120" spans="1:6" ht="15" customHeight="1" x14ac:dyDescent="0.3">
      <c r="A120" t="s">
        <v>933</v>
      </c>
      <c r="B120">
        <v>502003</v>
      </c>
      <c r="C120" t="s">
        <v>952</v>
      </c>
      <c r="D120">
        <v>101320594</v>
      </c>
      <c r="E120" t="s">
        <v>1397</v>
      </c>
      <c r="F120" s="2" t="s">
        <v>1398</v>
      </c>
    </row>
    <row r="121" spans="1:6" ht="15" customHeight="1" x14ac:dyDescent="0.3">
      <c r="A121" t="s">
        <v>933</v>
      </c>
      <c r="B121">
        <v>502003</v>
      </c>
      <c r="C121" t="s">
        <v>964</v>
      </c>
      <c r="D121">
        <v>101188836</v>
      </c>
      <c r="E121" t="s">
        <v>1394</v>
      </c>
      <c r="F121" s="2" t="s">
        <v>1395</v>
      </c>
    </row>
    <row r="122" spans="1:6" ht="15" customHeight="1" x14ac:dyDescent="0.3">
      <c r="A122" t="s">
        <v>933</v>
      </c>
      <c r="B122">
        <v>502003</v>
      </c>
      <c r="C122" t="s">
        <v>970</v>
      </c>
      <c r="D122">
        <v>101321224</v>
      </c>
      <c r="E122" t="s">
        <v>1394</v>
      </c>
      <c r="F122" s="2" t="s">
        <v>1395</v>
      </c>
    </row>
    <row r="123" spans="1:6" ht="15" customHeight="1" x14ac:dyDescent="0.3">
      <c r="A123" t="s">
        <v>933</v>
      </c>
      <c r="B123">
        <v>502003</v>
      </c>
      <c r="C123" t="s">
        <v>972</v>
      </c>
      <c r="D123">
        <v>101008450</v>
      </c>
      <c r="E123" t="s">
        <v>1394</v>
      </c>
      <c r="F123" s="2" t="s">
        <v>1395</v>
      </c>
    </row>
    <row r="124" spans="1:6" ht="15" customHeight="1" x14ac:dyDescent="0.3">
      <c r="A124" t="s">
        <v>933</v>
      </c>
      <c r="B124">
        <v>502003</v>
      </c>
      <c r="C124" t="s">
        <v>992</v>
      </c>
      <c r="D124">
        <v>101009847</v>
      </c>
      <c r="E124" t="s">
        <v>1394</v>
      </c>
      <c r="F124" s="2" t="s">
        <v>1395</v>
      </c>
    </row>
    <row r="125" spans="1:6" ht="15" customHeight="1" x14ac:dyDescent="0.3">
      <c r="A125" t="s">
        <v>933</v>
      </c>
      <c r="B125">
        <v>502003</v>
      </c>
      <c r="C125" t="s">
        <v>1001</v>
      </c>
      <c r="D125">
        <v>101077908</v>
      </c>
      <c r="E125" t="s">
        <v>1397</v>
      </c>
      <c r="F125" s="2" t="s">
        <v>1398</v>
      </c>
    </row>
    <row r="126" spans="1:6" ht="15" customHeight="1" x14ac:dyDescent="0.3">
      <c r="A126" t="s">
        <v>933</v>
      </c>
      <c r="B126">
        <v>502003</v>
      </c>
      <c r="C126" t="s">
        <v>1400</v>
      </c>
      <c r="D126">
        <v>101320662</v>
      </c>
      <c r="E126" t="s">
        <v>1397</v>
      </c>
      <c r="F126" s="2" t="s">
        <v>1398</v>
      </c>
    </row>
    <row r="127" spans="1:6" ht="15" customHeight="1" x14ac:dyDescent="0.3">
      <c r="A127" t="s">
        <v>933</v>
      </c>
      <c r="B127">
        <v>502003</v>
      </c>
      <c r="C127" t="s">
        <v>1401</v>
      </c>
      <c r="D127">
        <v>101017141</v>
      </c>
      <c r="E127" t="s">
        <v>1394</v>
      </c>
      <c r="F127" s="2" t="s">
        <v>1395</v>
      </c>
    </row>
    <row r="128" spans="1:6" ht="15" customHeight="1" x14ac:dyDescent="0.3">
      <c r="A128" t="s">
        <v>933</v>
      </c>
      <c r="B128">
        <v>502003</v>
      </c>
      <c r="C128" t="s">
        <v>1402</v>
      </c>
      <c r="D128">
        <v>101320269</v>
      </c>
      <c r="E128" t="s">
        <v>1397</v>
      </c>
      <c r="F128" s="2" t="s">
        <v>1398</v>
      </c>
    </row>
    <row r="129" spans="1:6" ht="15" customHeight="1" x14ac:dyDescent="0.3">
      <c r="A129" t="s">
        <v>933</v>
      </c>
      <c r="B129">
        <v>502003</v>
      </c>
      <c r="C129" t="s">
        <v>1403</v>
      </c>
      <c r="D129">
        <v>101320293</v>
      </c>
      <c r="E129" t="s">
        <v>1397</v>
      </c>
      <c r="F129" s="2" t="s">
        <v>1398</v>
      </c>
    </row>
    <row r="130" spans="1:6" ht="15" customHeight="1" x14ac:dyDescent="0.3">
      <c r="A130" t="s">
        <v>933</v>
      </c>
      <c r="B130">
        <v>502003</v>
      </c>
      <c r="C130" t="s">
        <v>1404</v>
      </c>
      <c r="D130">
        <v>101320590</v>
      </c>
      <c r="E130" t="s">
        <v>1397</v>
      </c>
      <c r="F130" s="2" t="s">
        <v>1398</v>
      </c>
    </row>
    <row r="131" spans="1:6" ht="15" customHeight="1" x14ac:dyDescent="0.3">
      <c r="A131" t="s">
        <v>933</v>
      </c>
      <c r="B131">
        <v>502003</v>
      </c>
      <c r="C131" t="s">
        <v>1405</v>
      </c>
      <c r="D131">
        <v>101081566</v>
      </c>
      <c r="E131" t="s">
        <v>1397</v>
      </c>
      <c r="F131" s="2" t="s">
        <v>1398</v>
      </c>
    </row>
    <row r="132" spans="1:6" ht="15" customHeight="1" x14ac:dyDescent="0.3">
      <c r="A132" t="s">
        <v>933</v>
      </c>
      <c r="B132">
        <v>502003</v>
      </c>
      <c r="C132" t="s">
        <v>1406</v>
      </c>
      <c r="D132">
        <v>101320304</v>
      </c>
      <c r="E132" t="s">
        <v>1397</v>
      </c>
      <c r="F132" s="2" t="s">
        <v>1398</v>
      </c>
    </row>
    <row r="133" spans="1:6" ht="15" customHeight="1" x14ac:dyDescent="0.3">
      <c r="A133" t="s">
        <v>933</v>
      </c>
      <c r="B133">
        <v>502003</v>
      </c>
      <c r="C133" t="s">
        <v>1407</v>
      </c>
      <c r="D133">
        <v>101320267</v>
      </c>
      <c r="E133" t="s">
        <v>1397</v>
      </c>
      <c r="F133" s="2" t="s">
        <v>1398</v>
      </c>
    </row>
    <row r="134" spans="1:6" ht="15" customHeight="1" x14ac:dyDescent="0.3">
      <c r="A134" t="s">
        <v>933</v>
      </c>
      <c r="B134">
        <v>502003</v>
      </c>
      <c r="C134" t="s">
        <v>1408</v>
      </c>
      <c r="D134">
        <v>101313870</v>
      </c>
      <c r="E134" t="s">
        <v>1394</v>
      </c>
      <c r="F134" s="2" t="s">
        <v>1395</v>
      </c>
    </row>
    <row r="135" spans="1:6" ht="15" customHeight="1" x14ac:dyDescent="0.3">
      <c r="A135" t="s">
        <v>933</v>
      </c>
      <c r="B135">
        <v>502003</v>
      </c>
      <c r="C135" t="s">
        <v>1409</v>
      </c>
      <c r="D135">
        <v>101081567</v>
      </c>
      <c r="E135" t="s">
        <v>1394</v>
      </c>
      <c r="F135" s="2" t="s">
        <v>1395</v>
      </c>
    </row>
    <row r="136" spans="1:6" ht="15" customHeight="1" x14ac:dyDescent="0.3">
      <c r="A136" t="s">
        <v>933</v>
      </c>
      <c r="B136">
        <v>502003</v>
      </c>
      <c r="C136" t="s">
        <v>1410</v>
      </c>
      <c r="D136">
        <v>101110991</v>
      </c>
      <c r="E136" t="s">
        <v>1394</v>
      </c>
      <c r="F136" s="2" t="s">
        <v>1395</v>
      </c>
    </row>
    <row r="137" spans="1:6" ht="15" customHeight="1" x14ac:dyDescent="0.3">
      <c r="A137" t="s">
        <v>933</v>
      </c>
      <c r="B137">
        <v>502003</v>
      </c>
      <c r="C137" t="s">
        <v>1411</v>
      </c>
      <c r="D137">
        <v>101218519</v>
      </c>
      <c r="E137" t="s">
        <v>1397</v>
      </c>
      <c r="F137" s="2" t="s">
        <v>1398</v>
      </c>
    </row>
    <row r="138" spans="1:6" ht="15" customHeight="1" x14ac:dyDescent="0.3">
      <c r="A138" t="s">
        <v>933</v>
      </c>
      <c r="B138">
        <v>502003</v>
      </c>
      <c r="C138" t="s">
        <v>1412</v>
      </c>
      <c r="D138">
        <v>101020234</v>
      </c>
      <c r="E138" t="s">
        <v>1397</v>
      </c>
      <c r="F138" s="2" t="s">
        <v>1398</v>
      </c>
    </row>
    <row r="139" spans="1:6" ht="15" customHeight="1" x14ac:dyDescent="0.3">
      <c r="A139" t="s">
        <v>933</v>
      </c>
      <c r="B139">
        <v>502003</v>
      </c>
      <c r="C139" t="s">
        <v>1413</v>
      </c>
      <c r="D139">
        <v>101226710</v>
      </c>
      <c r="E139" t="s">
        <v>1394</v>
      </c>
      <c r="F139" s="2" t="s">
        <v>1395</v>
      </c>
    </row>
    <row r="140" spans="1:6" ht="15" customHeight="1" x14ac:dyDescent="0.3">
      <c r="A140" t="s">
        <v>933</v>
      </c>
      <c r="B140">
        <v>502003</v>
      </c>
      <c r="C140" t="s">
        <v>1414</v>
      </c>
      <c r="D140">
        <v>101211814</v>
      </c>
      <c r="E140" t="s">
        <v>1394</v>
      </c>
      <c r="F140" s="2" t="s">
        <v>1395</v>
      </c>
    </row>
    <row r="141" spans="1:6" ht="15" customHeight="1" x14ac:dyDescent="0.3">
      <c r="A141" t="s">
        <v>76</v>
      </c>
      <c r="B141">
        <v>522371</v>
      </c>
      <c r="C141" t="s">
        <v>75</v>
      </c>
      <c r="D141">
        <v>101328098</v>
      </c>
      <c r="E141" t="s">
        <v>1415</v>
      </c>
      <c r="F141" s="2" t="s">
        <v>1416</v>
      </c>
    </row>
    <row r="142" spans="1:6" ht="15" customHeight="1" x14ac:dyDescent="0.3">
      <c r="A142" t="s">
        <v>76</v>
      </c>
      <c r="B142">
        <v>522371</v>
      </c>
      <c r="C142" t="s">
        <v>75</v>
      </c>
      <c r="D142">
        <v>101328098</v>
      </c>
      <c r="E142" t="s">
        <v>1417</v>
      </c>
      <c r="F142" s="2" t="s">
        <v>1418</v>
      </c>
    </row>
    <row r="143" spans="1:6" ht="15" customHeight="1" x14ac:dyDescent="0.3">
      <c r="A143" t="s">
        <v>76</v>
      </c>
      <c r="B143">
        <v>522371</v>
      </c>
      <c r="C143" t="s">
        <v>77</v>
      </c>
      <c r="D143">
        <v>101328100</v>
      </c>
      <c r="E143" t="s">
        <v>1415</v>
      </c>
      <c r="F143" s="2" t="s">
        <v>1419</v>
      </c>
    </row>
    <row r="144" spans="1:6" ht="15" customHeight="1" x14ac:dyDescent="0.3">
      <c r="A144" t="s">
        <v>76</v>
      </c>
      <c r="B144">
        <v>522371</v>
      </c>
      <c r="C144" t="s">
        <v>78</v>
      </c>
      <c r="D144">
        <v>101328102</v>
      </c>
      <c r="E144" t="s">
        <v>1415</v>
      </c>
      <c r="F144" s="2" t="s">
        <v>1419</v>
      </c>
    </row>
    <row r="145" spans="1:8" ht="15" customHeight="1" x14ac:dyDescent="0.3">
      <c r="A145" t="s">
        <v>57</v>
      </c>
      <c r="B145">
        <v>7467067</v>
      </c>
      <c r="C145" t="s">
        <v>59</v>
      </c>
      <c r="D145">
        <v>101238446</v>
      </c>
      <c r="E145" t="s">
        <v>1420</v>
      </c>
      <c r="F145" s="2" t="s">
        <v>1421</v>
      </c>
    </row>
    <row r="146" spans="1:8" ht="15" customHeight="1" x14ac:dyDescent="0.3">
      <c r="A146" t="s">
        <v>22</v>
      </c>
      <c r="B146">
        <v>7464171</v>
      </c>
      <c r="C146" t="s">
        <v>21</v>
      </c>
      <c r="D146">
        <v>101216950</v>
      </c>
      <c r="E146" t="s">
        <v>1422</v>
      </c>
      <c r="F146" s="2" t="s">
        <v>1423</v>
      </c>
    </row>
    <row r="147" spans="1:8" ht="15" customHeight="1" x14ac:dyDescent="0.3">
      <c r="A147" t="s">
        <v>80</v>
      </c>
      <c r="B147">
        <v>7488915</v>
      </c>
      <c r="C147" t="s">
        <v>79</v>
      </c>
      <c r="D147">
        <v>101317938</v>
      </c>
      <c r="E147" t="s">
        <v>1424</v>
      </c>
      <c r="F147" s="2" t="s">
        <v>1423</v>
      </c>
    </row>
    <row r="148" spans="1:8" ht="15" customHeight="1" x14ac:dyDescent="0.3">
      <c r="A148" t="s">
        <v>80</v>
      </c>
      <c r="B148">
        <v>7488915</v>
      </c>
      <c r="C148" t="s">
        <v>81</v>
      </c>
      <c r="D148">
        <v>101328104</v>
      </c>
      <c r="E148" t="s">
        <v>1424</v>
      </c>
      <c r="F148" s="2" t="s">
        <v>1423</v>
      </c>
    </row>
    <row r="149" spans="1:8" ht="15" customHeight="1" x14ac:dyDescent="0.3">
      <c r="A149" t="s">
        <v>407</v>
      </c>
      <c r="B149">
        <v>7439496</v>
      </c>
      <c r="C149" t="s">
        <v>1425</v>
      </c>
      <c r="D149">
        <v>101266286</v>
      </c>
      <c r="E149" t="s">
        <v>1426</v>
      </c>
      <c r="F149" s="2" t="s">
        <v>1423</v>
      </c>
    </row>
    <row r="150" spans="1:8" ht="15" customHeight="1" x14ac:dyDescent="0.3">
      <c r="A150" t="s">
        <v>407</v>
      </c>
      <c r="B150">
        <v>7439496</v>
      </c>
      <c r="C150" t="s">
        <v>1427</v>
      </c>
      <c r="D150">
        <v>101266291</v>
      </c>
      <c r="E150" t="s">
        <v>7</v>
      </c>
      <c r="F150" s="2" t="s">
        <v>1423</v>
      </c>
    </row>
    <row r="151" spans="1:8" ht="15" customHeight="1" x14ac:dyDescent="0.3">
      <c r="A151" t="s">
        <v>407</v>
      </c>
      <c r="B151">
        <v>7439496</v>
      </c>
      <c r="C151" t="s">
        <v>1428</v>
      </c>
      <c r="D151">
        <v>101266283</v>
      </c>
      <c r="E151" t="s">
        <v>1426</v>
      </c>
      <c r="F151" s="2" t="s">
        <v>1423</v>
      </c>
    </row>
    <row r="152" spans="1:8" ht="15" customHeight="1" x14ac:dyDescent="0.3">
      <c r="A152" t="s">
        <v>407</v>
      </c>
      <c r="B152">
        <v>7439496</v>
      </c>
      <c r="C152" t="s">
        <v>1429</v>
      </c>
      <c r="D152">
        <v>101266281</v>
      </c>
      <c r="E152" t="s">
        <v>1426</v>
      </c>
      <c r="F152" s="2" t="s">
        <v>1423</v>
      </c>
    </row>
    <row r="153" spans="1:8" ht="15" customHeight="1" x14ac:dyDescent="0.3">
      <c r="A153" t="s">
        <v>407</v>
      </c>
      <c r="B153">
        <v>7439496</v>
      </c>
      <c r="C153" t="s">
        <v>1430</v>
      </c>
      <c r="D153">
        <v>101264894</v>
      </c>
      <c r="E153" t="s">
        <v>1426</v>
      </c>
      <c r="F153" s="2" t="s">
        <v>1423</v>
      </c>
    </row>
    <row r="154" spans="1:8" ht="15" customHeight="1" x14ac:dyDescent="0.3">
      <c r="A154" t="s">
        <v>407</v>
      </c>
      <c r="B154">
        <v>7439496</v>
      </c>
      <c r="C154" t="s">
        <v>1431</v>
      </c>
      <c r="D154">
        <v>101266282</v>
      </c>
      <c r="E154" t="s">
        <v>1426</v>
      </c>
      <c r="F154" s="2" t="s">
        <v>1423</v>
      </c>
    </row>
    <row r="155" spans="1:8" ht="15" customHeight="1" x14ac:dyDescent="0.3">
      <c r="A155" t="s">
        <v>407</v>
      </c>
      <c r="B155">
        <v>7439496</v>
      </c>
      <c r="C155" t="s">
        <v>1432</v>
      </c>
      <c r="D155">
        <v>101266015</v>
      </c>
      <c r="E155" t="s">
        <v>1426</v>
      </c>
      <c r="F155" s="2" t="s">
        <v>1423</v>
      </c>
    </row>
    <row r="156" spans="1:8" ht="15" customHeight="1" x14ac:dyDescent="0.3">
      <c r="A156" t="s">
        <v>407</v>
      </c>
      <c r="B156">
        <v>7439496</v>
      </c>
      <c r="C156" t="s">
        <v>1433</v>
      </c>
      <c r="D156">
        <v>101266280</v>
      </c>
      <c r="E156" t="s">
        <v>1426</v>
      </c>
      <c r="F156" s="2" t="s">
        <v>1423</v>
      </c>
    </row>
    <row r="157" spans="1:8" ht="15" customHeight="1" x14ac:dyDescent="0.3">
      <c r="A157" t="s">
        <v>407</v>
      </c>
      <c r="B157">
        <v>7439496</v>
      </c>
      <c r="C157" t="s">
        <v>1434</v>
      </c>
      <c r="D157">
        <v>101290014</v>
      </c>
      <c r="E157" t="s">
        <v>1426</v>
      </c>
      <c r="F157" s="2" t="s">
        <v>1423</v>
      </c>
    </row>
    <row r="158" spans="1:8" ht="15" customHeight="1" x14ac:dyDescent="0.3">
      <c r="A158" t="s">
        <v>407</v>
      </c>
      <c r="B158">
        <v>7439496</v>
      </c>
      <c r="C158" t="s">
        <v>1435</v>
      </c>
      <c r="D158">
        <v>101266274</v>
      </c>
      <c r="E158" t="s">
        <v>1426</v>
      </c>
      <c r="F158" s="2" t="s">
        <v>1423</v>
      </c>
    </row>
    <row r="159" spans="1:8" ht="15" customHeight="1" x14ac:dyDescent="0.3">
      <c r="A159" t="s">
        <v>83</v>
      </c>
      <c r="B159">
        <v>7477481</v>
      </c>
      <c r="C159" t="s">
        <v>82</v>
      </c>
      <c r="D159">
        <v>101252412</v>
      </c>
      <c r="E159" t="s">
        <v>1426</v>
      </c>
      <c r="F159" s="2" t="s">
        <v>1436</v>
      </c>
      <c r="H159" t="s">
        <v>7</v>
      </c>
    </row>
    <row r="160" spans="1:8" ht="15" customHeight="1" x14ac:dyDescent="0.3">
      <c r="A160" t="s">
        <v>83</v>
      </c>
      <c r="B160">
        <v>7477481</v>
      </c>
      <c r="C160" t="s">
        <v>84</v>
      </c>
      <c r="D160">
        <v>101334291</v>
      </c>
      <c r="E160" t="s">
        <v>1426</v>
      </c>
      <c r="F160" s="2" t="s">
        <v>1436</v>
      </c>
    </row>
    <row r="161" spans="1:8" ht="15" customHeight="1" x14ac:dyDescent="0.3">
      <c r="A161" t="s">
        <v>122</v>
      </c>
      <c r="B161">
        <v>7438426</v>
      </c>
      <c r="C161" t="s">
        <v>1437</v>
      </c>
      <c r="D161">
        <v>101335079</v>
      </c>
      <c r="E161" t="s">
        <v>1426</v>
      </c>
      <c r="F161" s="2" t="s">
        <v>1436</v>
      </c>
      <c r="H161" t="s">
        <v>7</v>
      </c>
    </row>
    <row r="162" spans="1:8" ht="15" customHeight="1" x14ac:dyDescent="0.3">
      <c r="A162" t="s">
        <v>1438</v>
      </c>
      <c r="B162">
        <v>523553</v>
      </c>
      <c r="C162" t="s">
        <v>1439</v>
      </c>
      <c r="D162">
        <v>101326700</v>
      </c>
      <c r="E162" t="s">
        <v>1440</v>
      </c>
      <c r="F162" s="2" t="s">
        <v>1441</v>
      </c>
      <c r="H162" t="s">
        <v>7</v>
      </c>
    </row>
    <row r="163" spans="1:8" ht="15" customHeight="1" x14ac:dyDescent="0.3">
      <c r="A163" t="s">
        <v>122</v>
      </c>
      <c r="B163">
        <v>7438426</v>
      </c>
      <c r="C163" t="s">
        <v>314</v>
      </c>
      <c r="D163">
        <v>101334359</v>
      </c>
      <c r="E163" t="s">
        <v>1442</v>
      </c>
      <c r="F163" s="2" t="s">
        <v>1443</v>
      </c>
      <c r="H163" t="s">
        <v>7</v>
      </c>
    </row>
    <row r="164" spans="1:8" ht="15" customHeight="1" x14ac:dyDescent="0.3">
      <c r="A164" t="s">
        <v>122</v>
      </c>
      <c r="B164">
        <v>7438426</v>
      </c>
      <c r="C164" t="s">
        <v>283</v>
      </c>
      <c r="D164">
        <v>101240707</v>
      </c>
      <c r="E164" t="s">
        <v>1444</v>
      </c>
      <c r="F164" s="2" t="s">
        <v>1443</v>
      </c>
      <c r="H164" t="s">
        <v>7</v>
      </c>
    </row>
    <row r="165" spans="1:8" ht="15" customHeight="1" x14ac:dyDescent="0.3">
      <c r="A165" t="s">
        <v>122</v>
      </c>
      <c r="B165">
        <v>7438426</v>
      </c>
      <c r="C165" t="s">
        <v>291</v>
      </c>
      <c r="D165">
        <v>101334558</v>
      </c>
      <c r="E165" t="s">
        <v>1426</v>
      </c>
      <c r="F165" s="2" t="s">
        <v>1436</v>
      </c>
      <c r="H165" t="s">
        <v>7</v>
      </c>
    </row>
    <row r="166" spans="1:8" ht="15" customHeight="1" x14ac:dyDescent="0.3">
      <c r="A166" t="s">
        <v>122</v>
      </c>
      <c r="B166">
        <v>7438426</v>
      </c>
      <c r="C166" t="s">
        <v>324</v>
      </c>
      <c r="D166">
        <v>101334559</v>
      </c>
      <c r="E166" t="s">
        <v>1426</v>
      </c>
      <c r="F166" s="2" t="s">
        <v>1436</v>
      </c>
      <c r="H166" t="s">
        <v>7</v>
      </c>
    </row>
    <row r="167" spans="1:8" ht="15" customHeight="1" x14ac:dyDescent="0.3">
      <c r="A167" t="s">
        <v>122</v>
      </c>
      <c r="B167">
        <v>7438426</v>
      </c>
      <c r="C167" t="s">
        <v>1445</v>
      </c>
      <c r="D167">
        <v>101334365</v>
      </c>
      <c r="E167" t="s">
        <v>1426</v>
      </c>
      <c r="F167" s="2" t="s">
        <v>1436</v>
      </c>
      <c r="H167" t="s">
        <v>7</v>
      </c>
    </row>
    <row r="168" spans="1:8" ht="15" customHeight="1" x14ac:dyDescent="0.3">
      <c r="A168" t="s">
        <v>122</v>
      </c>
      <c r="B168">
        <v>7438426</v>
      </c>
      <c r="C168" t="s">
        <v>328</v>
      </c>
      <c r="D168">
        <v>101334562</v>
      </c>
      <c r="E168" t="s">
        <v>1426</v>
      </c>
      <c r="F168" s="2" t="s">
        <v>1436</v>
      </c>
      <c r="H168" t="s">
        <v>7</v>
      </c>
    </row>
    <row r="169" spans="1:8" ht="15" customHeight="1" x14ac:dyDescent="0.3">
      <c r="A169" t="s">
        <v>122</v>
      </c>
      <c r="B169">
        <v>7438426</v>
      </c>
      <c r="C169" t="s">
        <v>338</v>
      </c>
      <c r="D169">
        <v>101334564</v>
      </c>
      <c r="E169" t="s">
        <v>1426</v>
      </c>
      <c r="F169" s="2" t="s">
        <v>1436</v>
      </c>
      <c r="H169" t="s">
        <v>7</v>
      </c>
    </row>
    <row r="170" spans="1:8" ht="15" customHeight="1" x14ac:dyDescent="0.3">
      <c r="A170" t="s">
        <v>122</v>
      </c>
      <c r="B170">
        <v>7438426</v>
      </c>
      <c r="C170" t="s">
        <v>313</v>
      </c>
      <c r="D170">
        <v>101334565</v>
      </c>
      <c r="E170" t="s">
        <v>1426</v>
      </c>
      <c r="F170" s="2" t="s">
        <v>1436</v>
      </c>
      <c r="H170" t="s">
        <v>7</v>
      </c>
    </row>
    <row r="171" spans="1:8" ht="15" customHeight="1" x14ac:dyDescent="0.3">
      <c r="A171" t="s">
        <v>122</v>
      </c>
      <c r="B171">
        <v>7438426</v>
      </c>
      <c r="C171" t="s">
        <v>330</v>
      </c>
      <c r="D171">
        <v>101334566</v>
      </c>
      <c r="E171" t="s">
        <v>1426</v>
      </c>
      <c r="F171" s="2" t="s">
        <v>1436</v>
      </c>
      <c r="H171" t="s">
        <v>7</v>
      </c>
    </row>
    <row r="172" spans="1:8" ht="15" customHeight="1" x14ac:dyDescent="0.3">
      <c r="A172" t="s">
        <v>122</v>
      </c>
      <c r="B172">
        <v>7438426</v>
      </c>
      <c r="C172" t="s">
        <v>311</v>
      </c>
      <c r="D172">
        <v>101334567</v>
      </c>
      <c r="E172" t="s">
        <v>1426</v>
      </c>
      <c r="F172" s="2" t="s">
        <v>1436</v>
      </c>
      <c r="H172" t="s">
        <v>7</v>
      </c>
    </row>
    <row r="173" spans="1:8" ht="15" customHeight="1" x14ac:dyDescent="0.3">
      <c r="A173" t="s">
        <v>57</v>
      </c>
      <c r="B173">
        <v>7467067</v>
      </c>
      <c r="C173" t="s">
        <v>85</v>
      </c>
      <c r="D173">
        <v>101334600</v>
      </c>
      <c r="E173" t="s">
        <v>1426</v>
      </c>
      <c r="F173" s="2" t="s">
        <v>1436</v>
      </c>
      <c r="H173" t="s">
        <v>7</v>
      </c>
    </row>
    <row r="174" spans="1:8" ht="15" customHeight="1" x14ac:dyDescent="0.3">
      <c r="A174" t="s">
        <v>57</v>
      </c>
      <c r="B174">
        <v>7467067</v>
      </c>
      <c r="C174" t="s">
        <v>86</v>
      </c>
      <c r="D174">
        <v>101334601</v>
      </c>
      <c r="E174" t="s">
        <v>1426</v>
      </c>
      <c r="F174" s="2" t="s">
        <v>1436</v>
      </c>
      <c r="H174" t="s">
        <v>7</v>
      </c>
    </row>
    <row r="175" spans="1:8" ht="15" customHeight="1" x14ac:dyDescent="0.3">
      <c r="A175" t="s">
        <v>57</v>
      </c>
      <c r="B175">
        <v>7467067</v>
      </c>
      <c r="C175" t="s">
        <v>87</v>
      </c>
      <c r="D175">
        <v>101334602</v>
      </c>
      <c r="E175" t="s">
        <v>1426</v>
      </c>
      <c r="F175" s="2" t="s">
        <v>1436</v>
      </c>
      <c r="H175" t="s">
        <v>7</v>
      </c>
    </row>
    <row r="176" spans="1:8" ht="15" customHeight="1" x14ac:dyDescent="0.3">
      <c r="A176" t="s">
        <v>1438</v>
      </c>
      <c r="B176">
        <v>523553</v>
      </c>
      <c r="C176" t="s">
        <v>386</v>
      </c>
      <c r="D176">
        <v>101334595</v>
      </c>
      <c r="E176" t="s">
        <v>1426</v>
      </c>
      <c r="F176" s="2" t="s">
        <v>1446</v>
      </c>
      <c r="H176" t="s">
        <v>7</v>
      </c>
    </row>
    <row r="177" spans="1:8" ht="15" customHeight="1" x14ac:dyDescent="0.3">
      <c r="A177" t="s">
        <v>1438</v>
      </c>
      <c r="B177">
        <v>523553</v>
      </c>
      <c r="C177" t="s">
        <v>392</v>
      </c>
      <c r="D177">
        <v>101334596</v>
      </c>
      <c r="E177" t="s">
        <v>1426</v>
      </c>
      <c r="F177" s="2" t="s">
        <v>1446</v>
      </c>
      <c r="H177" t="s">
        <v>7</v>
      </c>
    </row>
    <row r="178" spans="1:8" ht="15" customHeight="1" x14ac:dyDescent="0.3">
      <c r="A178" t="s">
        <v>1438</v>
      </c>
      <c r="B178">
        <v>523553</v>
      </c>
      <c r="C178" t="s">
        <v>359</v>
      </c>
      <c r="D178">
        <v>101334597</v>
      </c>
      <c r="E178" t="s">
        <v>1426</v>
      </c>
      <c r="F178" s="2" t="s">
        <v>1446</v>
      </c>
      <c r="H178" t="s">
        <v>7</v>
      </c>
    </row>
    <row r="179" spans="1:8" ht="15" customHeight="1" x14ac:dyDescent="0.3">
      <c r="A179" t="s">
        <v>1438</v>
      </c>
      <c r="B179">
        <v>523553</v>
      </c>
      <c r="C179" t="s">
        <v>365</v>
      </c>
      <c r="D179">
        <v>101334598</v>
      </c>
      <c r="E179" t="s">
        <v>1426</v>
      </c>
      <c r="F179" s="2" t="s">
        <v>1446</v>
      </c>
      <c r="H179" t="s">
        <v>7</v>
      </c>
    </row>
    <row r="180" spans="1:8" ht="15" customHeight="1" x14ac:dyDescent="0.3">
      <c r="A180" t="s">
        <v>1438</v>
      </c>
      <c r="B180">
        <v>523553</v>
      </c>
      <c r="C180" t="s">
        <v>376</v>
      </c>
      <c r="D180">
        <v>101334606</v>
      </c>
      <c r="E180" t="s">
        <v>1426</v>
      </c>
      <c r="F180" s="2" t="s">
        <v>1446</v>
      </c>
      <c r="H180" t="s">
        <v>7</v>
      </c>
    </row>
    <row r="181" spans="1:8" ht="15" customHeight="1" x14ac:dyDescent="0.3">
      <c r="A181" t="s">
        <v>1438</v>
      </c>
      <c r="B181">
        <v>523553</v>
      </c>
      <c r="C181" t="s">
        <v>352</v>
      </c>
      <c r="D181">
        <v>101334607</v>
      </c>
      <c r="E181" t="s">
        <v>1426</v>
      </c>
      <c r="F181" s="2" t="s">
        <v>1446</v>
      </c>
      <c r="H181" t="s">
        <v>7</v>
      </c>
    </row>
    <row r="182" spans="1:8" ht="15" customHeight="1" x14ac:dyDescent="0.3">
      <c r="A182" t="s">
        <v>1438</v>
      </c>
      <c r="B182">
        <v>523553</v>
      </c>
      <c r="C182" t="s">
        <v>1447</v>
      </c>
      <c r="D182">
        <v>101334611</v>
      </c>
      <c r="E182" t="s">
        <v>1426</v>
      </c>
      <c r="F182" s="2" t="s">
        <v>1446</v>
      </c>
      <c r="H182" t="s">
        <v>7</v>
      </c>
    </row>
    <row r="183" spans="1:8" ht="15" customHeight="1" x14ac:dyDescent="0.3">
      <c r="A183" t="s">
        <v>1438</v>
      </c>
      <c r="B183">
        <v>523553</v>
      </c>
      <c r="C183" t="s">
        <v>363</v>
      </c>
      <c r="D183">
        <v>100911426</v>
      </c>
      <c r="E183" t="s">
        <v>1426</v>
      </c>
      <c r="F183" s="2" t="s">
        <v>1446</v>
      </c>
      <c r="H183" t="s">
        <v>7</v>
      </c>
    </row>
    <row r="184" spans="1:8" ht="15" customHeight="1" x14ac:dyDescent="0.3">
      <c r="A184" t="s">
        <v>1438</v>
      </c>
      <c r="B184">
        <v>523553</v>
      </c>
      <c r="C184" t="s">
        <v>1448</v>
      </c>
      <c r="D184">
        <v>101334608</v>
      </c>
      <c r="E184" t="s">
        <v>1426</v>
      </c>
      <c r="F184" s="2" t="s">
        <v>1446</v>
      </c>
      <c r="H184" t="s">
        <v>7</v>
      </c>
    </row>
    <row r="185" spans="1:8" ht="15" customHeight="1" x14ac:dyDescent="0.3">
      <c r="A185" t="s">
        <v>1438</v>
      </c>
      <c r="B185">
        <v>523553</v>
      </c>
      <c r="C185" t="s">
        <v>1449</v>
      </c>
      <c r="D185">
        <v>101334614</v>
      </c>
      <c r="E185" t="s">
        <v>1426</v>
      </c>
      <c r="F185" s="2" t="s">
        <v>1446</v>
      </c>
      <c r="H185" t="s">
        <v>7</v>
      </c>
    </row>
    <row r="186" spans="1:8" ht="15" customHeight="1" x14ac:dyDescent="0.3">
      <c r="A186" t="s">
        <v>1438</v>
      </c>
      <c r="B186">
        <v>523553</v>
      </c>
      <c r="C186" t="s">
        <v>1450</v>
      </c>
      <c r="D186">
        <v>101334610</v>
      </c>
      <c r="E186" t="s">
        <v>1426</v>
      </c>
      <c r="F186" s="2" t="s">
        <v>1446</v>
      </c>
      <c r="H186" t="s">
        <v>7</v>
      </c>
    </row>
    <row r="187" spans="1:8" ht="15" customHeight="1" x14ac:dyDescent="0.3">
      <c r="A187" t="s">
        <v>1438</v>
      </c>
      <c r="B187">
        <v>523553</v>
      </c>
      <c r="C187" t="s">
        <v>402</v>
      </c>
      <c r="D187">
        <v>101326700</v>
      </c>
      <c r="E187" t="s">
        <v>1426</v>
      </c>
      <c r="F187" s="2" t="s">
        <v>1446</v>
      </c>
      <c r="H187" t="s">
        <v>7</v>
      </c>
    </row>
    <row r="188" spans="1:8" ht="15" customHeight="1" x14ac:dyDescent="0.3">
      <c r="A188" t="s">
        <v>1438</v>
      </c>
      <c r="B188">
        <v>523553</v>
      </c>
      <c r="C188" t="s">
        <v>1451</v>
      </c>
      <c r="D188">
        <v>101334616</v>
      </c>
      <c r="E188" t="s">
        <v>1426</v>
      </c>
      <c r="F188" s="2" t="s">
        <v>1446</v>
      </c>
      <c r="H188" t="s">
        <v>7</v>
      </c>
    </row>
    <row r="189" spans="1:8" ht="15" customHeight="1" x14ac:dyDescent="0.3">
      <c r="A189" t="s">
        <v>1438</v>
      </c>
      <c r="B189">
        <v>523553</v>
      </c>
      <c r="C189" t="s">
        <v>1452</v>
      </c>
      <c r="D189">
        <v>101334617</v>
      </c>
      <c r="E189" t="s">
        <v>1426</v>
      </c>
      <c r="F189" s="2" t="s">
        <v>1446</v>
      </c>
      <c r="H189" t="s">
        <v>7</v>
      </c>
    </row>
    <row r="190" spans="1:8" ht="15" customHeight="1" x14ac:dyDescent="0.3">
      <c r="A190" t="s">
        <v>1438</v>
      </c>
      <c r="B190">
        <v>523553</v>
      </c>
      <c r="C190" t="s">
        <v>1453</v>
      </c>
      <c r="D190">
        <v>101334612</v>
      </c>
      <c r="E190" t="s">
        <v>1426</v>
      </c>
      <c r="F190" s="2" t="s">
        <v>1446</v>
      </c>
      <c r="H190" t="s">
        <v>7</v>
      </c>
    </row>
    <row r="191" spans="1:8" ht="15" customHeight="1" x14ac:dyDescent="0.3">
      <c r="A191" t="s">
        <v>1438</v>
      </c>
      <c r="B191">
        <v>523553</v>
      </c>
      <c r="C191" t="s">
        <v>1454</v>
      </c>
      <c r="D191">
        <v>101334613</v>
      </c>
      <c r="E191" t="s">
        <v>1426</v>
      </c>
      <c r="F191" s="2" t="s">
        <v>1446</v>
      </c>
      <c r="H191" t="s">
        <v>7</v>
      </c>
    </row>
    <row r="192" spans="1:8" ht="15" customHeight="1" x14ac:dyDescent="0.3">
      <c r="A192" t="s">
        <v>1438</v>
      </c>
      <c r="B192">
        <v>523553</v>
      </c>
      <c r="C192" t="s">
        <v>1455</v>
      </c>
      <c r="D192">
        <v>101334618</v>
      </c>
      <c r="E192" t="s">
        <v>1426</v>
      </c>
      <c r="F192" s="2" t="s">
        <v>1446</v>
      </c>
      <c r="H192" t="s">
        <v>7</v>
      </c>
    </row>
    <row r="193" spans="1:8" ht="15" customHeight="1" x14ac:dyDescent="0.3">
      <c r="A193" t="s">
        <v>1438</v>
      </c>
      <c r="B193">
        <v>523553</v>
      </c>
      <c r="C193" t="s">
        <v>1456</v>
      </c>
      <c r="D193">
        <v>100911425</v>
      </c>
      <c r="E193" t="s">
        <v>1426</v>
      </c>
      <c r="F193" s="2" t="s">
        <v>1446</v>
      </c>
      <c r="H193" t="s">
        <v>7</v>
      </c>
    </row>
    <row r="194" spans="1:8" ht="15" customHeight="1" x14ac:dyDescent="0.3">
      <c r="A194" t="s">
        <v>32</v>
      </c>
      <c r="B194">
        <v>7486286</v>
      </c>
      <c r="C194" t="s">
        <v>45</v>
      </c>
      <c r="D194">
        <v>101298886</v>
      </c>
      <c r="E194" t="s">
        <v>1457</v>
      </c>
      <c r="F194" s="2" t="s">
        <v>1458</v>
      </c>
      <c r="H194" t="s">
        <v>7</v>
      </c>
    </row>
    <row r="195" spans="1:8" ht="15" customHeight="1" x14ac:dyDescent="0.3">
      <c r="A195" t="s">
        <v>933</v>
      </c>
      <c r="B195">
        <v>502003</v>
      </c>
      <c r="C195" t="s">
        <v>970</v>
      </c>
      <c r="D195">
        <v>101321224</v>
      </c>
      <c r="E195" t="s">
        <v>1459</v>
      </c>
      <c r="F195" s="2" t="s">
        <v>1460</v>
      </c>
      <c r="H195" t="s">
        <v>7</v>
      </c>
    </row>
    <row r="196" spans="1:8" ht="15" customHeight="1" x14ac:dyDescent="0.3">
      <c r="A196" t="s">
        <v>89</v>
      </c>
      <c r="B196">
        <v>7483886</v>
      </c>
      <c r="C196" t="s">
        <v>88</v>
      </c>
      <c r="D196">
        <v>101281230</v>
      </c>
      <c r="E196" t="s">
        <v>1461</v>
      </c>
      <c r="F196" s="2" t="s">
        <v>1462</v>
      </c>
      <c r="H196" t="s">
        <v>7</v>
      </c>
    </row>
    <row r="197" spans="1:8" ht="15" customHeight="1" x14ac:dyDescent="0.3">
      <c r="A197" t="s">
        <v>91</v>
      </c>
      <c r="B197">
        <v>7492511</v>
      </c>
      <c r="C197" t="s">
        <v>90</v>
      </c>
      <c r="D197">
        <v>101334626</v>
      </c>
      <c r="E197" t="s">
        <v>1463</v>
      </c>
      <c r="F197" s="2" t="s">
        <v>1443</v>
      </c>
      <c r="H197" t="s">
        <v>7</v>
      </c>
    </row>
    <row r="198" spans="1:8" ht="15" customHeight="1" x14ac:dyDescent="0.3">
      <c r="A198" t="s">
        <v>122</v>
      </c>
      <c r="B198">
        <v>7438426</v>
      </c>
      <c r="C198" t="s">
        <v>304</v>
      </c>
      <c r="D198">
        <v>100913315</v>
      </c>
      <c r="E198" t="s">
        <v>1463</v>
      </c>
      <c r="F198" s="2" t="s">
        <v>1464</v>
      </c>
      <c r="H198" t="s">
        <v>7</v>
      </c>
    </row>
    <row r="199" spans="1:8" ht="15" customHeight="1" x14ac:dyDescent="0.3">
      <c r="A199" t="s">
        <v>407</v>
      </c>
      <c r="B199">
        <v>7439496</v>
      </c>
      <c r="C199" t="s">
        <v>442</v>
      </c>
      <c r="D199">
        <v>101266280</v>
      </c>
      <c r="E199" t="s">
        <v>1465</v>
      </c>
      <c r="F199" s="2" t="s">
        <v>1464</v>
      </c>
      <c r="H199" t="s">
        <v>7</v>
      </c>
    </row>
    <row r="200" spans="1:8" ht="15" customHeight="1" x14ac:dyDescent="0.3">
      <c r="A200" t="s">
        <v>122</v>
      </c>
      <c r="B200">
        <v>7438426</v>
      </c>
      <c r="C200" t="s">
        <v>314</v>
      </c>
      <c r="D200">
        <v>101334359</v>
      </c>
      <c r="E200" t="s">
        <v>1466</v>
      </c>
      <c r="F200" s="2" t="s">
        <v>1464</v>
      </c>
      <c r="H200" t="s">
        <v>7</v>
      </c>
    </row>
    <row r="201" spans="1:8" ht="15" customHeight="1" x14ac:dyDescent="0.3">
      <c r="A201" t="s">
        <v>93</v>
      </c>
      <c r="B201">
        <v>507143</v>
      </c>
      <c r="C201" t="s">
        <v>92</v>
      </c>
      <c r="D201">
        <v>101334627</v>
      </c>
      <c r="E201" t="s">
        <v>1467</v>
      </c>
      <c r="F201" s="2" t="s">
        <v>1468</v>
      </c>
      <c r="H201" t="s">
        <v>7</v>
      </c>
    </row>
    <row r="202" spans="1:8" ht="15" customHeight="1" x14ac:dyDescent="0.3">
      <c r="A202" t="s">
        <v>89</v>
      </c>
      <c r="B202">
        <v>7483886</v>
      </c>
      <c r="C202" t="s">
        <v>88</v>
      </c>
      <c r="D202">
        <v>101281230</v>
      </c>
      <c r="E202" t="s">
        <v>1469</v>
      </c>
      <c r="F202" s="2" t="s">
        <v>1470</v>
      </c>
      <c r="H202" t="s">
        <v>7</v>
      </c>
    </row>
    <row r="203" spans="1:8" ht="15" customHeight="1" x14ac:dyDescent="0.3">
      <c r="A203" t="s">
        <v>95</v>
      </c>
      <c r="B203">
        <v>7487916</v>
      </c>
      <c r="C203" t="s">
        <v>94</v>
      </c>
      <c r="D203">
        <v>101330543</v>
      </c>
      <c r="E203" t="s">
        <v>1461</v>
      </c>
      <c r="F203" s="2" t="s">
        <v>1470</v>
      </c>
      <c r="H203" t="s">
        <v>7</v>
      </c>
    </row>
    <row r="204" spans="1:8" ht="15" customHeight="1" x14ac:dyDescent="0.3">
      <c r="A204" t="s">
        <v>933</v>
      </c>
      <c r="B204">
        <v>502003</v>
      </c>
      <c r="C204" t="s">
        <v>1001</v>
      </c>
      <c r="D204">
        <v>101077908</v>
      </c>
      <c r="E204" t="s">
        <v>1471</v>
      </c>
      <c r="F204" s="2" t="s">
        <v>1472</v>
      </c>
      <c r="H204" t="s">
        <v>7</v>
      </c>
    </row>
    <row r="205" spans="1:8" ht="15" customHeight="1" x14ac:dyDescent="0.3">
      <c r="A205" t="s">
        <v>97</v>
      </c>
      <c r="B205">
        <v>7463975</v>
      </c>
      <c r="C205" t="s">
        <v>96</v>
      </c>
      <c r="D205">
        <v>101334629</v>
      </c>
      <c r="E205" t="s">
        <v>1473</v>
      </c>
      <c r="F205" s="2" t="s">
        <v>1474</v>
      </c>
      <c r="H205" t="s">
        <v>7</v>
      </c>
    </row>
    <row r="206" spans="1:8" ht="15" customHeight="1" x14ac:dyDescent="0.3">
      <c r="A206" t="s">
        <v>62</v>
      </c>
      <c r="B206">
        <v>535466</v>
      </c>
      <c r="C206" t="s">
        <v>63</v>
      </c>
      <c r="D206">
        <v>101296668</v>
      </c>
      <c r="E206" t="s">
        <v>1475</v>
      </c>
      <c r="F206" s="2" t="s">
        <v>1476</v>
      </c>
      <c r="H206" t="s">
        <v>7</v>
      </c>
    </row>
    <row r="207" spans="1:8" ht="15" customHeight="1" x14ac:dyDescent="0.3">
      <c r="A207" t="s">
        <v>57</v>
      </c>
      <c r="B207">
        <v>7467067</v>
      </c>
      <c r="C207" t="s">
        <v>59</v>
      </c>
      <c r="D207">
        <v>101238446</v>
      </c>
      <c r="E207" t="s">
        <v>1475</v>
      </c>
      <c r="F207" s="2" t="s">
        <v>1476</v>
      </c>
      <c r="H207" t="s">
        <v>7</v>
      </c>
    </row>
    <row r="208" spans="1:8" ht="15" customHeight="1" x14ac:dyDescent="0.3">
      <c r="A208" t="s">
        <v>80</v>
      </c>
      <c r="B208">
        <v>7488915</v>
      </c>
      <c r="C208" t="s">
        <v>79</v>
      </c>
      <c r="D208">
        <v>101317938</v>
      </c>
      <c r="E208" t="s">
        <v>1477</v>
      </c>
      <c r="F208" s="2" t="s">
        <v>1478</v>
      </c>
      <c r="H208" t="s">
        <v>7</v>
      </c>
    </row>
    <row r="209" spans="1:8" ht="15" customHeight="1" x14ac:dyDescent="0.3">
      <c r="A209" t="s">
        <v>24</v>
      </c>
      <c r="B209">
        <v>532951</v>
      </c>
      <c r="C209" t="s">
        <v>64</v>
      </c>
      <c r="D209">
        <v>101314850</v>
      </c>
      <c r="E209" t="s">
        <v>1479</v>
      </c>
      <c r="F209" s="2" t="s">
        <v>1480</v>
      </c>
      <c r="H209" t="s">
        <v>7</v>
      </c>
    </row>
    <row r="210" spans="1:8" ht="15" customHeight="1" x14ac:dyDescent="0.3">
      <c r="A210" t="s">
        <v>99</v>
      </c>
      <c r="B210">
        <v>7461439</v>
      </c>
      <c r="C210" t="s">
        <v>98</v>
      </c>
      <c r="D210">
        <v>101188259</v>
      </c>
      <c r="E210" t="s">
        <v>1481</v>
      </c>
      <c r="F210" s="2" t="s">
        <v>1480</v>
      </c>
      <c r="H210" t="s">
        <v>7</v>
      </c>
    </row>
    <row r="211" spans="1:8" ht="15" customHeight="1" x14ac:dyDescent="0.3">
      <c r="A211" t="s">
        <v>99</v>
      </c>
      <c r="B211">
        <v>7461439</v>
      </c>
      <c r="C211" t="s">
        <v>100</v>
      </c>
      <c r="D211">
        <v>101334635</v>
      </c>
      <c r="E211" t="s">
        <v>1481</v>
      </c>
      <c r="F211" s="2" t="s">
        <v>1480</v>
      </c>
      <c r="H211" t="s">
        <v>7</v>
      </c>
    </row>
    <row r="212" spans="1:8" ht="15" customHeight="1" x14ac:dyDescent="0.3">
      <c r="A212" t="s">
        <v>122</v>
      </c>
      <c r="B212">
        <v>7438426</v>
      </c>
      <c r="C212" t="s">
        <v>283</v>
      </c>
      <c r="D212">
        <v>101240707</v>
      </c>
      <c r="E212" t="s">
        <v>1444</v>
      </c>
      <c r="F212" s="2" t="s">
        <v>1482</v>
      </c>
      <c r="H212" t="s">
        <v>7</v>
      </c>
    </row>
    <row r="213" spans="1:8" ht="15" customHeight="1" x14ac:dyDescent="0.3">
      <c r="A213" t="s">
        <v>122</v>
      </c>
      <c r="B213">
        <v>7438426</v>
      </c>
      <c r="C213" t="s">
        <v>291</v>
      </c>
      <c r="D213">
        <v>101334558</v>
      </c>
      <c r="E213" t="s">
        <v>1444</v>
      </c>
      <c r="F213" s="2" t="s">
        <v>1482</v>
      </c>
      <c r="H213" t="s">
        <v>7</v>
      </c>
    </row>
    <row r="214" spans="1:8" ht="15" customHeight="1" x14ac:dyDescent="0.3">
      <c r="A214" t="s">
        <v>122</v>
      </c>
      <c r="B214">
        <v>7438426</v>
      </c>
      <c r="C214" t="s">
        <v>324</v>
      </c>
      <c r="D214">
        <v>101334559</v>
      </c>
      <c r="E214" t="s">
        <v>1444</v>
      </c>
      <c r="F214" s="2" t="s">
        <v>1482</v>
      </c>
      <c r="H214" t="s">
        <v>7</v>
      </c>
    </row>
    <row r="215" spans="1:8" ht="15" customHeight="1" x14ac:dyDescent="0.3">
      <c r="A215" t="s">
        <v>122</v>
      </c>
      <c r="B215">
        <v>7438426</v>
      </c>
      <c r="C215" t="s">
        <v>1445</v>
      </c>
      <c r="D215">
        <v>101334365</v>
      </c>
      <c r="E215" t="s">
        <v>1444</v>
      </c>
      <c r="F215" s="2" t="s">
        <v>1482</v>
      </c>
      <c r="H215" t="s">
        <v>7</v>
      </c>
    </row>
    <row r="216" spans="1:8" ht="15" customHeight="1" x14ac:dyDescent="0.3">
      <c r="A216" t="s">
        <v>122</v>
      </c>
      <c r="B216">
        <v>7438426</v>
      </c>
      <c r="C216" t="s">
        <v>328</v>
      </c>
      <c r="D216">
        <v>101334562</v>
      </c>
      <c r="E216" t="s">
        <v>1444</v>
      </c>
      <c r="F216" s="2" t="s">
        <v>1482</v>
      </c>
      <c r="H216" t="s">
        <v>7</v>
      </c>
    </row>
    <row r="217" spans="1:8" ht="15" customHeight="1" x14ac:dyDescent="0.3">
      <c r="A217" t="s">
        <v>122</v>
      </c>
      <c r="B217">
        <v>7438426</v>
      </c>
      <c r="C217" t="s">
        <v>338</v>
      </c>
      <c r="D217">
        <v>101334564</v>
      </c>
      <c r="E217" t="s">
        <v>1444</v>
      </c>
      <c r="F217" s="2" t="s">
        <v>1482</v>
      </c>
      <c r="H217" t="s">
        <v>7</v>
      </c>
    </row>
    <row r="218" spans="1:8" ht="15" customHeight="1" x14ac:dyDescent="0.3">
      <c r="A218" t="s">
        <v>122</v>
      </c>
      <c r="B218">
        <v>7438426</v>
      </c>
      <c r="C218" t="s">
        <v>313</v>
      </c>
      <c r="D218">
        <v>101334565</v>
      </c>
      <c r="E218" t="s">
        <v>1444</v>
      </c>
      <c r="F218" s="2" t="s">
        <v>1482</v>
      </c>
      <c r="H218" t="s">
        <v>7</v>
      </c>
    </row>
    <row r="219" spans="1:8" ht="15" customHeight="1" x14ac:dyDescent="0.3">
      <c r="A219" t="s">
        <v>122</v>
      </c>
      <c r="B219">
        <v>7438426</v>
      </c>
      <c r="C219" t="s">
        <v>330</v>
      </c>
      <c r="D219">
        <v>101334566</v>
      </c>
      <c r="E219" t="s">
        <v>1444</v>
      </c>
      <c r="F219" s="2" t="s">
        <v>1482</v>
      </c>
      <c r="H219" t="s">
        <v>7</v>
      </c>
    </row>
    <row r="220" spans="1:8" ht="15" customHeight="1" x14ac:dyDescent="0.3">
      <c r="A220" t="s">
        <v>122</v>
      </c>
      <c r="B220">
        <v>7438426</v>
      </c>
      <c r="C220" t="s">
        <v>311</v>
      </c>
      <c r="D220">
        <v>101334567</v>
      </c>
      <c r="E220" t="s">
        <v>1444</v>
      </c>
      <c r="F220" s="2" t="s">
        <v>1482</v>
      </c>
      <c r="H220" t="s">
        <v>7</v>
      </c>
    </row>
    <row r="221" spans="1:8" ht="15" customHeight="1" x14ac:dyDescent="0.3">
      <c r="A221" t="s">
        <v>57</v>
      </c>
      <c r="B221">
        <v>7467067</v>
      </c>
      <c r="C221" t="s">
        <v>85</v>
      </c>
      <c r="D221">
        <v>101334600</v>
      </c>
      <c r="E221" t="s">
        <v>1444</v>
      </c>
      <c r="F221" s="2" t="s">
        <v>1482</v>
      </c>
      <c r="H221" t="s">
        <v>7</v>
      </c>
    </row>
    <row r="222" spans="1:8" ht="15" customHeight="1" x14ac:dyDescent="0.3">
      <c r="A222" t="s">
        <v>22</v>
      </c>
      <c r="B222">
        <v>7464171</v>
      </c>
      <c r="C222" t="s">
        <v>21</v>
      </c>
      <c r="D222">
        <v>101216950</v>
      </c>
      <c r="E222" t="s">
        <v>1333</v>
      </c>
      <c r="F222" s="2" t="s">
        <v>1483</v>
      </c>
    </row>
    <row r="223" spans="1:8" ht="15" customHeight="1" x14ac:dyDescent="0.3">
      <c r="A223" t="s">
        <v>97</v>
      </c>
      <c r="B223">
        <v>7463975</v>
      </c>
      <c r="C223" t="s">
        <v>96</v>
      </c>
      <c r="D223">
        <v>101334629</v>
      </c>
      <c r="E223" t="s">
        <v>1473</v>
      </c>
      <c r="F223" s="2" t="s">
        <v>1484</v>
      </c>
    </row>
    <row r="224" spans="1:8" ht="15" customHeight="1" x14ac:dyDescent="0.3">
      <c r="A224" t="s">
        <v>97</v>
      </c>
      <c r="B224">
        <v>7463975</v>
      </c>
      <c r="C224" t="s">
        <v>101</v>
      </c>
      <c r="D224">
        <v>101203094</v>
      </c>
      <c r="E224" t="s">
        <v>1485</v>
      </c>
      <c r="F224" s="2" t="s">
        <v>1484</v>
      </c>
    </row>
    <row r="225" spans="1:6" ht="15" customHeight="1" x14ac:dyDescent="0.3">
      <c r="A225" t="s">
        <v>97</v>
      </c>
      <c r="B225">
        <v>7463975</v>
      </c>
      <c r="C225" t="s">
        <v>102</v>
      </c>
      <c r="D225">
        <v>101203092</v>
      </c>
      <c r="E225" t="s">
        <v>1485</v>
      </c>
      <c r="F225" s="2" t="s">
        <v>1484</v>
      </c>
    </row>
    <row r="226" spans="1:6" ht="15" customHeight="1" x14ac:dyDescent="0.3">
      <c r="A226" t="s">
        <v>104</v>
      </c>
      <c r="B226">
        <v>7470025</v>
      </c>
      <c r="C226" t="s">
        <v>103</v>
      </c>
      <c r="D226">
        <v>101334125</v>
      </c>
      <c r="E226" t="s">
        <v>1485</v>
      </c>
      <c r="F226" s="2" t="s">
        <v>1484</v>
      </c>
    </row>
    <row r="227" spans="1:6" ht="15" customHeight="1" x14ac:dyDescent="0.3">
      <c r="A227" t="s">
        <v>97</v>
      </c>
      <c r="B227">
        <v>7463975</v>
      </c>
      <c r="C227" t="s">
        <v>105</v>
      </c>
      <c r="D227">
        <v>101203093</v>
      </c>
      <c r="E227" t="s">
        <v>1485</v>
      </c>
      <c r="F227" s="2" t="s">
        <v>1484</v>
      </c>
    </row>
    <row r="228" spans="1:6" ht="15" customHeight="1" x14ac:dyDescent="0.3">
      <c r="A228" t="s">
        <v>122</v>
      </c>
      <c r="B228">
        <v>7438426</v>
      </c>
      <c r="C228" t="s">
        <v>1486</v>
      </c>
      <c r="D228">
        <v>101244648</v>
      </c>
      <c r="E228" t="s">
        <v>1487</v>
      </c>
      <c r="F228" s="2" t="s">
        <v>1483</v>
      </c>
    </row>
    <row r="229" spans="1:6" ht="15" customHeight="1" x14ac:dyDescent="0.3">
      <c r="A229" t="s">
        <v>99</v>
      </c>
      <c r="B229">
        <v>7461439</v>
      </c>
      <c r="C229" t="s">
        <v>98</v>
      </c>
      <c r="D229">
        <v>101188259</v>
      </c>
      <c r="E229" t="s">
        <v>1481</v>
      </c>
      <c r="F229" s="2" t="s">
        <v>1488</v>
      </c>
    </row>
    <row r="230" spans="1:6" ht="15" customHeight="1" x14ac:dyDescent="0.3">
      <c r="A230" t="s">
        <v>99</v>
      </c>
      <c r="B230">
        <v>7461439</v>
      </c>
      <c r="C230" t="s">
        <v>100</v>
      </c>
      <c r="D230">
        <v>101334635</v>
      </c>
      <c r="E230" t="s">
        <v>1481</v>
      </c>
      <c r="F230" s="2" t="s">
        <v>1488</v>
      </c>
    </row>
    <row r="231" spans="1:6" ht="15" customHeight="1" x14ac:dyDescent="0.3">
      <c r="A231" t="s">
        <v>76</v>
      </c>
      <c r="B231">
        <v>522371</v>
      </c>
      <c r="C231" t="s">
        <v>77</v>
      </c>
      <c r="D231">
        <v>101328100</v>
      </c>
      <c r="E231" t="s">
        <v>1489</v>
      </c>
      <c r="F231" s="2" t="s">
        <v>1490</v>
      </c>
    </row>
    <row r="232" spans="1:6" ht="15" customHeight="1" x14ac:dyDescent="0.3">
      <c r="A232" t="s">
        <v>76</v>
      </c>
      <c r="B232">
        <v>522371</v>
      </c>
      <c r="C232" t="s">
        <v>78</v>
      </c>
      <c r="D232">
        <v>101328102</v>
      </c>
      <c r="E232" t="s">
        <v>1489</v>
      </c>
      <c r="F232" s="2" t="s">
        <v>1490</v>
      </c>
    </row>
    <row r="233" spans="1:6" ht="15" customHeight="1" x14ac:dyDescent="0.3">
      <c r="A233" t="s">
        <v>99</v>
      </c>
      <c r="B233">
        <v>7461439</v>
      </c>
      <c r="C233" t="s">
        <v>98</v>
      </c>
      <c r="D233">
        <v>101188259</v>
      </c>
      <c r="E233" t="s">
        <v>1491</v>
      </c>
      <c r="F233" s="2" t="s">
        <v>1492</v>
      </c>
    </row>
    <row r="234" spans="1:6" ht="15" customHeight="1" x14ac:dyDescent="0.3">
      <c r="A234" t="s">
        <v>99</v>
      </c>
      <c r="B234">
        <v>7461439</v>
      </c>
      <c r="C234" t="s">
        <v>100</v>
      </c>
      <c r="D234">
        <v>101334635</v>
      </c>
      <c r="E234" t="s">
        <v>1491</v>
      </c>
      <c r="F234" s="2" t="s">
        <v>1492</v>
      </c>
    </row>
    <row r="235" spans="1:6" ht="15" customHeight="1" x14ac:dyDescent="0.3">
      <c r="A235" t="s">
        <v>407</v>
      </c>
      <c r="B235">
        <v>7439496</v>
      </c>
      <c r="C235" t="s">
        <v>1430</v>
      </c>
      <c r="D235">
        <v>101264894</v>
      </c>
      <c r="E235" t="s">
        <v>1493</v>
      </c>
      <c r="F235" s="2" t="s">
        <v>1494</v>
      </c>
    </row>
    <row r="236" spans="1:6" ht="15" customHeight="1" x14ac:dyDescent="0.3">
      <c r="A236" t="s">
        <v>57</v>
      </c>
      <c r="B236">
        <v>7467067</v>
      </c>
      <c r="C236" t="s">
        <v>59</v>
      </c>
      <c r="D236">
        <v>101238446</v>
      </c>
      <c r="E236" t="s">
        <v>1495</v>
      </c>
      <c r="F236" s="2" t="s">
        <v>1494</v>
      </c>
    </row>
    <row r="237" spans="1:6" ht="15" customHeight="1" x14ac:dyDescent="0.3">
      <c r="A237" t="s">
        <v>24</v>
      </c>
      <c r="B237">
        <v>532861</v>
      </c>
      <c r="C237" t="s">
        <v>23</v>
      </c>
      <c r="D237">
        <v>100922948</v>
      </c>
      <c r="E237" t="s">
        <v>1496</v>
      </c>
      <c r="F237" s="2" t="s">
        <v>1497</v>
      </c>
    </row>
    <row r="238" spans="1:6" ht="15" customHeight="1" x14ac:dyDescent="0.3">
      <c r="A238" t="s">
        <v>24</v>
      </c>
      <c r="B238">
        <v>532951</v>
      </c>
      <c r="C238" t="s">
        <v>64</v>
      </c>
      <c r="D238">
        <v>101314850</v>
      </c>
      <c r="E238" t="s">
        <v>1496</v>
      </c>
      <c r="F238" s="2" t="s">
        <v>1497</v>
      </c>
    </row>
    <row r="239" spans="1:6" ht="15" customHeight="1" x14ac:dyDescent="0.3">
      <c r="A239" t="s">
        <v>107</v>
      </c>
      <c r="B239">
        <v>7494137</v>
      </c>
      <c r="C239" t="s">
        <v>106</v>
      </c>
      <c r="D239">
        <v>101342603</v>
      </c>
      <c r="E239" t="s">
        <v>1498</v>
      </c>
      <c r="F239" s="2" t="s">
        <v>1499</v>
      </c>
    </row>
    <row r="240" spans="1:6" ht="15" customHeight="1" x14ac:dyDescent="0.3">
      <c r="A240" t="s">
        <v>22</v>
      </c>
      <c r="B240">
        <v>7464171</v>
      </c>
      <c r="C240" t="s">
        <v>21</v>
      </c>
      <c r="D240">
        <v>101216950</v>
      </c>
      <c r="E240" t="s">
        <v>1333</v>
      </c>
      <c r="F240" s="2" t="s">
        <v>1500</v>
      </c>
    </row>
    <row r="241" spans="1:6" ht="15" customHeight="1" x14ac:dyDescent="0.3">
      <c r="A241" t="s">
        <v>57</v>
      </c>
      <c r="B241">
        <v>7467067</v>
      </c>
      <c r="C241" t="s">
        <v>59</v>
      </c>
      <c r="D241">
        <v>101238446</v>
      </c>
      <c r="E241" t="s">
        <v>1495</v>
      </c>
      <c r="F241" s="2" t="s">
        <v>1497</v>
      </c>
    </row>
    <row r="242" spans="1:6" ht="15" customHeight="1" x14ac:dyDescent="0.3">
      <c r="A242" t="s">
        <v>407</v>
      </c>
      <c r="B242">
        <v>7439496</v>
      </c>
      <c r="C242" t="s">
        <v>1430</v>
      </c>
      <c r="D242">
        <v>101264894</v>
      </c>
      <c r="E242" t="s">
        <v>1501</v>
      </c>
      <c r="F242" s="2" t="s">
        <v>1502</v>
      </c>
    </row>
    <row r="243" spans="1:6" ht="15" customHeight="1" x14ac:dyDescent="0.3">
      <c r="A243" t="s">
        <v>80</v>
      </c>
      <c r="B243">
        <v>7488915</v>
      </c>
      <c r="C243" t="s">
        <v>79</v>
      </c>
      <c r="D243">
        <v>101317938</v>
      </c>
      <c r="E243" t="s">
        <v>1477</v>
      </c>
      <c r="F243" s="2" t="s">
        <v>1503</v>
      </c>
    </row>
    <row r="244" spans="1:6" ht="15" customHeight="1" x14ac:dyDescent="0.3">
      <c r="A244" t="s">
        <v>1438</v>
      </c>
      <c r="B244">
        <v>523553</v>
      </c>
      <c r="C244" t="s">
        <v>1439</v>
      </c>
      <c r="D244">
        <v>101326700</v>
      </c>
      <c r="E244" t="s">
        <v>1504</v>
      </c>
      <c r="F244" s="2" t="s">
        <v>1503</v>
      </c>
    </row>
    <row r="245" spans="1:6" ht="15" customHeight="1" x14ac:dyDescent="0.3">
      <c r="A245" t="s">
        <v>1438</v>
      </c>
      <c r="B245">
        <v>523553</v>
      </c>
      <c r="C245" t="s">
        <v>1505</v>
      </c>
      <c r="D245">
        <v>101334606</v>
      </c>
      <c r="E245" t="s">
        <v>1504</v>
      </c>
      <c r="F245" s="2" t="s">
        <v>1503</v>
      </c>
    </row>
    <row r="246" spans="1:6" ht="15" customHeight="1" x14ac:dyDescent="0.3">
      <c r="A246" t="s">
        <v>1438</v>
      </c>
      <c r="B246">
        <v>523553</v>
      </c>
      <c r="C246" t="s">
        <v>359</v>
      </c>
      <c r="D246">
        <v>101334597</v>
      </c>
      <c r="E246" t="s">
        <v>1504</v>
      </c>
      <c r="F246" s="2" t="s">
        <v>1503</v>
      </c>
    </row>
    <row r="247" spans="1:6" ht="15" customHeight="1" x14ac:dyDescent="0.3">
      <c r="A247" t="s">
        <v>1438</v>
      </c>
      <c r="B247">
        <v>523553</v>
      </c>
      <c r="C247" t="s">
        <v>378</v>
      </c>
      <c r="D247">
        <v>101342616</v>
      </c>
      <c r="E247" t="s">
        <v>1504</v>
      </c>
      <c r="F247" s="2" t="s">
        <v>1503</v>
      </c>
    </row>
    <row r="248" spans="1:6" ht="15" customHeight="1" x14ac:dyDescent="0.3">
      <c r="A248" t="s">
        <v>122</v>
      </c>
      <c r="B248">
        <v>7438426</v>
      </c>
      <c r="C248" t="s">
        <v>283</v>
      </c>
      <c r="D248">
        <v>101240707</v>
      </c>
      <c r="E248" t="s">
        <v>1444</v>
      </c>
      <c r="F248" s="2" t="s">
        <v>1506</v>
      </c>
    </row>
    <row r="249" spans="1:6" ht="15" customHeight="1" x14ac:dyDescent="0.3">
      <c r="A249" t="s">
        <v>109</v>
      </c>
      <c r="B249">
        <v>7494139</v>
      </c>
      <c r="C249" t="s">
        <v>108</v>
      </c>
      <c r="D249">
        <v>101342619</v>
      </c>
      <c r="E249" t="s">
        <v>1507</v>
      </c>
      <c r="F249" s="2" t="s">
        <v>1506</v>
      </c>
    </row>
    <row r="250" spans="1:6" ht="15" customHeight="1" x14ac:dyDescent="0.3">
      <c r="A250" t="s">
        <v>104</v>
      </c>
      <c r="B250">
        <v>7470025</v>
      </c>
      <c r="C250" t="s">
        <v>103</v>
      </c>
      <c r="D250">
        <v>101334125</v>
      </c>
      <c r="E250" t="s">
        <v>1508</v>
      </c>
      <c r="F250" s="2" t="s">
        <v>1506</v>
      </c>
    </row>
    <row r="251" spans="1:6" ht="15" customHeight="1" x14ac:dyDescent="0.3">
      <c r="A251" t="s">
        <v>95</v>
      </c>
      <c r="B251">
        <v>7487916</v>
      </c>
      <c r="C251" t="s">
        <v>94</v>
      </c>
      <c r="D251">
        <v>101330543</v>
      </c>
      <c r="E251" t="s">
        <v>1461</v>
      </c>
      <c r="F251" s="2" t="s">
        <v>1509</v>
      </c>
    </row>
    <row r="252" spans="1:6" ht="15" customHeight="1" x14ac:dyDescent="0.3">
      <c r="A252" t="s">
        <v>97</v>
      </c>
      <c r="B252">
        <v>7463975</v>
      </c>
      <c r="C252" t="s">
        <v>102</v>
      </c>
      <c r="D252">
        <v>101203092</v>
      </c>
      <c r="E252" t="s">
        <v>1510</v>
      </c>
      <c r="F252" s="2" t="s">
        <v>1509</v>
      </c>
    </row>
    <row r="253" spans="1:6" ht="15" customHeight="1" x14ac:dyDescent="0.3">
      <c r="A253" t="s">
        <v>107</v>
      </c>
      <c r="B253">
        <v>7494137</v>
      </c>
      <c r="C253" t="s">
        <v>106</v>
      </c>
      <c r="D253">
        <v>101342603</v>
      </c>
      <c r="E253" t="s">
        <v>1498</v>
      </c>
      <c r="F253" s="2" t="s">
        <v>1511</v>
      </c>
    </row>
    <row r="254" spans="1:6" ht="15" customHeight="1" x14ac:dyDescent="0.3">
      <c r="A254" t="s">
        <v>111</v>
      </c>
      <c r="B254">
        <v>7493671</v>
      </c>
      <c r="C254" t="s">
        <v>110</v>
      </c>
      <c r="D254">
        <v>101340263</v>
      </c>
      <c r="E254" t="s">
        <v>1512</v>
      </c>
      <c r="F254" s="2" t="s">
        <v>1509</v>
      </c>
    </row>
    <row r="255" spans="1:6" ht="15" customHeight="1" x14ac:dyDescent="0.3">
      <c r="A255" t="s">
        <v>104</v>
      </c>
      <c r="B255">
        <v>7470025</v>
      </c>
      <c r="C255" t="s">
        <v>103</v>
      </c>
      <c r="D255">
        <v>101334125</v>
      </c>
      <c r="E255" t="s">
        <v>1513</v>
      </c>
      <c r="F255" s="2" t="s">
        <v>1509</v>
      </c>
    </row>
    <row r="256" spans="1:6" ht="15" customHeight="1" x14ac:dyDescent="0.3">
      <c r="A256" t="s">
        <v>122</v>
      </c>
      <c r="B256">
        <v>7438426</v>
      </c>
      <c r="C256" t="s">
        <v>304</v>
      </c>
      <c r="D256">
        <v>100913315</v>
      </c>
      <c r="E256" t="s">
        <v>1514</v>
      </c>
      <c r="F256" s="2" t="s">
        <v>1509</v>
      </c>
    </row>
    <row r="257" spans="1:8" ht="15" customHeight="1" x14ac:dyDescent="0.3">
      <c r="A257" t="s">
        <v>53</v>
      </c>
      <c r="B257">
        <v>7410462</v>
      </c>
      <c r="C257" t="s">
        <v>52</v>
      </c>
      <c r="D257">
        <v>100971157</v>
      </c>
      <c r="E257" t="s">
        <v>1515</v>
      </c>
      <c r="F257" s="2" t="s">
        <v>1283</v>
      </c>
      <c r="G257" t="s">
        <v>1283</v>
      </c>
      <c r="H257" t="s">
        <v>1516</v>
      </c>
    </row>
    <row r="258" spans="1:8" ht="15" customHeight="1" x14ac:dyDescent="0.3">
      <c r="A258" t="s">
        <v>53</v>
      </c>
      <c r="B258">
        <v>7410462</v>
      </c>
      <c r="C258" t="s">
        <v>112</v>
      </c>
      <c r="D258">
        <v>101189830</v>
      </c>
      <c r="E258" t="s">
        <v>1515</v>
      </c>
      <c r="F258" s="2" t="s">
        <v>1283</v>
      </c>
      <c r="G258" t="s">
        <v>1283</v>
      </c>
      <c r="H258" t="s">
        <v>1516</v>
      </c>
    </row>
    <row r="259" spans="1:8" ht="15" customHeight="1" x14ac:dyDescent="0.3">
      <c r="A259" t="s">
        <v>1312</v>
      </c>
      <c r="B259">
        <v>7465932</v>
      </c>
      <c r="C259" t="s">
        <v>913</v>
      </c>
      <c r="D259">
        <v>101212756</v>
      </c>
      <c r="E259" t="s">
        <v>1517</v>
      </c>
      <c r="F259" s="2" t="s">
        <v>1283</v>
      </c>
      <c r="G259" t="s">
        <v>1283</v>
      </c>
      <c r="H259" t="s">
        <v>1518</v>
      </c>
    </row>
    <row r="260" spans="1:8" ht="15" customHeight="1" x14ac:dyDescent="0.3">
      <c r="A260" t="s">
        <v>72</v>
      </c>
      <c r="B260">
        <v>7476358</v>
      </c>
      <c r="C260" t="s">
        <v>113</v>
      </c>
      <c r="D260">
        <v>101280926</v>
      </c>
      <c r="E260" t="s">
        <v>1519</v>
      </c>
      <c r="F260" s="2" t="s">
        <v>1303</v>
      </c>
      <c r="G260" t="s">
        <v>1303</v>
      </c>
      <c r="H260" t="s">
        <v>1520</v>
      </c>
    </row>
    <row r="261" spans="1:8" ht="15" customHeight="1" x14ac:dyDescent="0.3">
      <c r="A261" t="s">
        <v>20</v>
      </c>
      <c r="B261">
        <v>530147</v>
      </c>
      <c r="C261" t="s">
        <v>60</v>
      </c>
      <c r="D261">
        <v>100919470</v>
      </c>
      <c r="E261" t="s">
        <v>1521</v>
      </c>
      <c r="F261" s="2" t="s">
        <v>1303</v>
      </c>
      <c r="G261" t="s">
        <v>1303</v>
      </c>
      <c r="H261" t="s">
        <v>7</v>
      </c>
    </row>
    <row r="262" spans="1:8" ht="15" customHeight="1" x14ac:dyDescent="0.3">
      <c r="A262" t="s">
        <v>20</v>
      </c>
      <c r="B262">
        <v>530147</v>
      </c>
      <c r="C262" t="s">
        <v>60</v>
      </c>
      <c r="D262">
        <v>100919470</v>
      </c>
      <c r="E262" t="s">
        <v>1522</v>
      </c>
      <c r="F262" s="2" t="s">
        <v>1523</v>
      </c>
      <c r="G262" t="s">
        <v>1523</v>
      </c>
      <c r="H262" t="s">
        <v>7</v>
      </c>
    </row>
    <row r="263" spans="1:8" ht="15" customHeight="1" x14ac:dyDescent="0.3">
      <c r="A263" t="s">
        <v>460</v>
      </c>
      <c r="B263">
        <v>508073</v>
      </c>
      <c r="C263" t="s">
        <v>1278</v>
      </c>
      <c r="D263">
        <v>101238163</v>
      </c>
      <c r="E263" t="s">
        <v>1279</v>
      </c>
      <c r="F263" s="2" t="s">
        <v>1303</v>
      </c>
      <c r="G263" t="s">
        <v>1303</v>
      </c>
      <c r="H263" t="s">
        <v>1281</v>
      </c>
    </row>
    <row r="264" spans="1:8" ht="15" customHeight="1" x14ac:dyDescent="0.3">
      <c r="A264" t="s">
        <v>32</v>
      </c>
      <c r="B264">
        <v>7486286</v>
      </c>
      <c r="C264" t="s">
        <v>114</v>
      </c>
      <c r="D264">
        <v>101294362</v>
      </c>
      <c r="E264" t="s">
        <v>1524</v>
      </c>
      <c r="F264" s="2" t="s">
        <v>1297</v>
      </c>
      <c r="G264" t="s">
        <v>1297</v>
      </c>
      <c r="H264" t="s">
        <v>1525</v>
      </c>
    </row>
    <row r="265" spans="1:8" ht="15" customHeight="1" x14ac:dyDescent="0.3">
      <c r="A265" t="s">
        <v>51</v>
      </c>
      <c r="B265">
        <v>7434304</v>
      </c>
      <c r="C265" t="s">
        <v>50</v>
      </c>
      <c r="D265">
        <v>101064484</v>
      </c>
      <c r="E265" t="s">
        <v>1526</v>
      </c>
      <c r="F265" s="2" t="s">
        <v>1297</v>
      </c>
      <c r="G265" t="s">
        <v>1297</v>
      </c>
      <c r="H265" t="s">
        <v>1527</v>
      </c>
    </row>
    <row r="266" spans="1:8" ht="15" customHeight="1" x14ac:dyDescent="0.3">
      <c r="A266" t="s">
        <v>122</v>
      </c>
      <c r="B266">
        <v>525520</v>
      </c>
      <c r="C266" t="s">
        <v>304</v>
      </c>
      <c r="D266">
        <v>100913315</v>
      </c>
      <c r="E266" t="s">
        <v>1308</v>
      </c>
      <c r="F266" s="2" t="s">
        <v>1306</v>
      </c>
      <c r="G266" t="s">
        <v>1306</v>
      </c>
      <c r="H266" t="s">
        <v>1309</v>
      </c>
    </row>
    <row r="267" spans="1:8" ht="15" customHeight="1" x14ac:dyDescent="0.3">
      <c r="A267" t="s">
        <v>30</v>
      </c>
      <c r="B267">
        <v>506398</v>
      </c>
      <c r="C267" t="s">
        <v>29</v>
      </c>
      <c r="D267">
        <v>100899593</v>
      </c>
      <c r="E267" t="s">
        <v>1296</v>
      </c>
      <c r="F267" s="2" t="s">
        <v>1297</v>
      </c>
      <c r="G267" t="s">
        <v>1297</v>
      </c>
      <c r="H267" t="s">
        <v>1298</v>
      </c>
    </row>
    <row r="268" spans="1:8" ht="15" customHeight="1" x14ac:dyDescent="0.3">
      <c r="A268" t="s">
        <v>24</v>
      </c>
      <c r="B268">
        <v>532861</v>
      </c>
      <c r="C268" t="s">
        <v>23</v>
      </c>
      <c r="D268">
        <v>100922948</v>
      </c>
      <c r="E268" t="s">
        <v>1287</v>
      </c>
      <c r="F268" s="2" t="s">
        <v>1288</v>
      </c>
      <c r="G268" t="s">
        <v>1288</v>
      </c>
      <c r="H268" t="s">
        <v>1289</v>
      </c>
    </row>
    <row r="269" spans="1:8" ht="15" customHeight="1" x14ac:dyDescent="0.3">
      <c r="A269" t="s">
        <v>122</v>
      </c>
      <c r="B269">
        <v>525520</v>
      </c>
      <c r="C269" t="s">
        <v>289</v>
      </c>
      <c r="D269">
        <v>100913316</v>
      </c>
      <c r="E269" t="s">
        <v>1302</v>
      </c>
      <c r="F269" s="2" t="s">
        <v>1303</v>
      </c>
      <c r="G269" t="s">
        <v>1303</v>
      </c>
      <c r="H269" t="s">
        <v>1304</v>
      </c>
    </row>
    <row r="270" spans="1:8" ht="15" customHeight="1" x14ac:dyDescent="0.3">
      <c r="A270" t="s">
        <v>83</v>
      </c>
      <c r="B270">
        <v>7477481</v>
      </c>
      <c r="C270" t="s">
        <v>82</v>
      </c>
      <c r="D270">
        <v>101252412</v>
      </c>
      <c r="E270" t="s">
        <v>1528</v>
      </c>
      <c r="F270" s="2" t="s">
        <v>1529</v>
      </c>
      <c r="G270" t="s">
        <v>1530</v>
      </c>
    </row>
    <row r="271" spans="1:8" ht="15" customHeight="1" x14ac:dyDescent="0.3">
      <c r="A271" t="s">
        <v>83</v>
      </c>
      <c r="B271">
        <v>7477481</v>
      </c>
      <c r="C271" t="s">
        <v>84</v>
      </c>
      <c r="D271">
        <v>101334291</v>
      </c>
      <c r="E271" t="s">
        <v>1528</v>
      </c>
      <c r="F271" s="2" t="s">
        <v>1529</v>
      </c>
      <c r="G271" t="s">
        <v>1530</v>
      </c>
    </row>
    <row r="272" spans="1:8" ht="15" customHeight="1" x14ac:dyDescent="0.3">
      <c r="A272" t="s">
        <v>122</v>
      </c>
      <c r="B272">
        <v>7438426</v>
      </c>
      <c r="C272" t="s">
        <v>283</v>
      </c>
      <c r="D272">
        <v>101240707</v>
      </c>
      <c r="E272" t="s">
        <v>1444</v>
      </c>
      <c r="F272" s="2" t="s">
        <v>1531</v>
      </c>
      <c r="G272" t="s">
        <v>1532</v>
      </c>
    </row>
    <row r="273" spans="1:7" ht="15" customHeight="1" x14ac:dyDescent="0.3">
      <c r="A273" t="s">
        <v>122</v>
      </c>
      <c r="B273">
        <v>7438426</v>
      </c>
      <c r="C273" t="s">
        <v>1486</v>
      </c>
      <c r="D273">
        <v>101244648</v>
      </c>
      <c r="E273" t="s">
        <v>1487</v>
      </c>
      <c r="F273" s="2" t="s">
        <v>1531</v>
      </c>
      <c r="G273" t="s">
        <v>1532</v>
      </c>
    </row>
    <row r="274" spans="1:7" ht="15" customHeight="1" x14ac:dyDescent="0.3">
      <c r="A274" t="s">
        <v>122</v>
      </c>
      <c r="B274">
        <v>7438426</v>
      </c>
      <c r="C274" t="s">
        <v>304</v>
      </c>
      <c r="D274">
        <v>100913315</v>
      </c>
      <c r="E274" t="s">
        <v>1487</v>
      </c>
      <c r="F274" s="2" t="s">
        <v>1531</v>
      </c>
      <c r="G274" t="s">
        <v>1532</v>
      </c>
    </row>
    <row r="275" spans="1:7" ht="15" customHeight="1" x14ac:dyDescent="0.3">
      <c r="A275" t="s">
        <v>122</v>
      </c>
      <c r="B275">
        <v>7438426</v>
      </c>
      <c r="C275" t="s">
        <v>1486</v>
      </c>
      <c r="D275">
        <v>101244648</v>
      </c>
      <c r="E275" t="s">
        <v>1487</v>
      </c>
      <c r="F275" s="2" t="s">
        <v>1533</v>
      </c>
      <c r="G275" t="s">
        <v>1534</v>
      </c>
    </row>
    <row r="276" spans="1:7" ht="15" customHeight="1" x14ac:dyDescent="0.3">
      <c r="A276" t="s">
        <v>933</v>
      </c>
      <c r="B276">
        <v>502003</v>
      </c>
      <c r="C276" t="s">
        <v>1035</v>
      </c>
      <c r="D276">
        <v>101346079</v>
      </c>
      <c r="E276" t="s">
        <v>1535</v>
      </c>
      <c r="F276" s="2" t="s">
        <v>1536</v>
      </c>
      <c r="G276" t="s">
        <v>1537</v>
      </c>
    </row>
    <row r="277" spans="1:7" ht="15" customHeight="1" x14ac:dyDescent="0.3">
      <c r="A277" t="s">
        <v>933</v>
      </c>
      <c r="B277">
        <v>502003</v>
      </c>
      <c r="C277" t="s">
        <v>979</v>
      </c>
      <c r="D277">
        <v>101275144</v>
      </c>
      <c r="E277" t="s">
        <v>1538</v>
      </c>
      <c r="F277" s="2" t="s">
        <v>1536</v>
      </c>
      <c r="G277" t="s">
        <v>7</v>
      </c>
    </row>
    <row r="278" spans="1:7" ht="15" customHeight="1" x14ac:dyDescent="0.3">
      <c r="A278" t="s">
        <v>122</v>
      </c>
      <c r="B278">
        <v>7438426</v>
      </c>
      <c r="C278" t="s">
        <v>304</v>
      </c>
      <c r="D278">
        <v>100913315</v>
      </c>
      <c r="E278" t="s">
        <v>1539</v>
      </c>
      <c r="F278" s="2" t="s">
        <v>1536</v>
      </c>
      <c r="G278" t="s">
        <v>1540</v>
      </c>
    </row>
    <row r="279" spans="1:7" ht="15" customHeight="1" x14ac:dyDescent="0.3">
      <c r="A279" t="s">
        <v>97</v>
      </c>
      <c r="B279">
        <v>7463975</v>
      </c>
      <c r="C279" t="s">
        <v>96</v>
      </c>
      <c r="D279">
        <v>101334629</v>
      </c>
      <c r="E279" t="s">
        <v>1541</v>
      </c>
      <c r="F279" s="2" t="s">
        <v>1542</v>
      </c>
      <c r="G279" t="s">
        <v>1543</v>
      </c>
    </row>
    <row r="280" spans="1:7" ht="15" customHeight="1" x14ac:dyDescent="0.3">
      <c r="A280" t="s">
        <v>97</v>
      </c>
      <c r="B280">
        <v>7463975</v>
      </c>
      <c r="C280" t="s">
        <v>101</v>
      </c>
      <c r="D280">
        <v>101203094</v>
      </c>
      <c r="E280" t="s">
        <v>1541</v>
      </c>
      <c r="F280" s="2" t="s">
        <v>1542</v>
      </c>
      <c r="G280" t="s">
        <v>1543</v>
      </c>
    </row>
    <row r="281" spans="1:7" ht="15" customHeight="1" x14ac:dyDescent="0.3">
      <c r="A281" t="s">
        <v>97</v>
      </c>
      <c r="B281">
        <v>7463975</v>
      </c>
      <c r="C281" t="s">
        <v>102</v>
      </c>
      <c r="D281">
        <v>101203092</v>
      </c>
      <c r="E281" t="s">
        <v>1541</v>
      </c>
      <c r="F281" s="2" t="s">
        <v>1542</v>
      </c>
      <c r="G281" t="s">
        <v>1543</v>
      </c>
    </row>
    <row r="282" spans="1:7" ht="15" customHeight="1" x14ac:dyDescent="0.3">
      <c r="A282" t="s">
        <v>24</v>
      </c>
      <c r="B282">
        <v>532861</v>
      </c>
      <c r="C282" t="s">
        <v>23</v>
      </c>
      <c r="D282">
        <v>100922948</v>
      </c>
      <c r="E282" t="s">
        <v>1544</v>
      </c>
      <c r="F282" s="2" t="s">
        <v>1545</v>
      </c>
      <c r="G282" t="s">
        <v>1546</v>
      </c>
    </row>
    <row r="283" spans="1:7" ht="15" customHeight="1" x14ac:dyDescent="0.3">
      <c r="A283" t="s">
        <v>24</v>
      </c>
      <c r="B283">
        <v>532951</v>
      </c>
      <c r="C283" t="s">
        <v>64</v>
      </c>
      <c r="D283">
        <v>101314850</v>
      </c>
      <c r="E283" t="s">
        <v>1544</v>
      </c>
      <c r="F283" s="2" t="s">
        <v>1545</v>
      </c>
      <c r="G283" t="s">
        <v>1546</v>
      </c>
    </row>
    <row r="284" spans="1:7" ht="15" customHeight="1" x14ac:dyDescent="0.3">
      <c r="A284" t="s">
        <v>24</v>
      </c>
      <c r="B284">
        <v>532951</v>
      </c>
      <c r="C284" t="s">
        <v>23</v>
      </c>
      <c r="D284">
        <v>100922948</v>
      </c>
      <c r="E284" t="s">
        <v>1547</v>
      </c>
      <c r="F284" s="2" t="s">
        <v>1548</v>
      </c>
      <c r="G284" t="s">
        <v>1549</v>
      </c>
    </row>
    <row r="285" spans="1:7" ht="15" customHeight="1" x14ac:dyDescent="0.3">
      <c r="A285" t="s">
        <v>32</v>
      </c>
      <c r="B285">
        <v>7486286</v>
      </c>
      <c r="C285" t="s">
        <v>45</v>
      </c>
      <c r="D285">
        <v>101298886</v>
      </c>
      <c r="E285" t="s">
        <v>1550</v>
      </c>
      <c r="F285" s="2" t="s">
        <v>1551</v>
      </c>
      <c r="G285" t="s">
        <v>1552</v>
      </c>
    </row>
    <row r="286" spans="1:7" ht="15" customHeight="1" x14ac:dyDescent="0.3">
      <c r="A286" t="s">
        <v>97</v>
      </c>
      <c r="B286">
        <v>7463975</v>
      </c>
      <c r="C286" t="s">
        <v>96</v>
      </c>
      <c r="D286">
        <v>101334629</v>
      </c>
      <c r="E286" t="s">
        <v>1553</v>
      </c>
      <c r="F286" s="2" t="s">
        <v>1554</v>
      </c>
      <c r="G286" t="s">
        <v>1543</v>
      </c>
    </row>
    <row r="287" spans="1:7" ht="15" customHeight="1" x14ac:dyDescent="0.3">
      <c r="A287" t="s">
        <v>97</v>
      </c>
      <c r="B287">
        <v>7463975</v>
      </c>
      <c r="C287" t="s">
        <v>101</v>
      </c>
      <c r="D287">
        <v>101203094</v>
      </c>
      <c r="E287" t="s">
        <v>1553</v>
      </c>
      <c r="F287" s="2" t="s">
        <v>1554</v>
      </c>
      <c r="G287" t="s">
        <v>1543</v>
      </c>
    </row>
    <row r="288" spans="1:7" ht="15" customHeight="1" x14ac:dyDescent="0.3">
      <c r="A288" t="s">
        <v>97</v>
      </c>
      <c r="B288">
        <v>7463975</v>
      </c>
      <c r="C288" t="s">
        <v>102</v>
      </c>
      <c r="D288">
        <v>101203092</v>
      </c>
      <c r="E288" t="s">
        <v>1553</v>
      </c>
      <c r="F288" s="2" t="s">
        <v>1554</v>
      </c>
      <c r="G288" t="s">
        <v>1543</v>
      </c>
    </row>
    <row r="289" spans="1:7" ht="15" customHeight="1" x14ac:dyDescent="0.3">
      <c r="A289" t="s">
        <v>104</v>
      </c>
      <c r="B289">
        <v>7470025</v>
      </c>
      <c r="C289" t="s">
        <v>115</v>
      </c>
      <c r="D289">
        <v>101323980</v>
      </c>
      <c r="E289" t="s">
        <v>1555</v>
      </c>
      <c r="F289" s="2" t="s">
        <v>1554</v>
      </c>
      <c r="G289" t="s">
        <v>1556</v>
      </c>
    </row>
    <row r="290" spans="1:7" ht="15" customHeight="1" x14ac:dyDescent="0.3">
      <c r="A290" t="s">
        <v>117</v>
      </c>
      <c r="B290">
        <v>7496107</v>
      </c>
      <c r="C290" t="s">
        <v>116</v>
      </c>
      <c r="D290">
        <v>101352948</v>
      </c>
      <c r="E290" t="s">
        <v>1557</v>
      </c>
      <c r="F290" s="2" t="s">
        <v>1558</v>
      </c>
      <c r="G290" t="s">
        <v>1559</v>
      </c>
    </row>
    <row r="291" spans="1:7" ht="15" customHeight="1" x14ac:dyDescent="0.3">
      <c r="A291" t="s">
        <v>407</v>
      </c>
      <c r="B291">
        <v>7439496</v>
      </c>
      <c r="C291" t="s">
        <v>412</v>
      </c>
      <c r="D291">
        <v>101352950</v>
      </c>
      <c r="E291" t="s">
        <v>1560</v>
      </c>
      <c r="F291" s="2" t="s">
        <v>1558</v>
      </c>
      <c r="G291" t="s">
        <v>1561</v>
      </c>
    </row>
    <row r="292" spans="1:7" ht="15" customHeight="1" x14ac:dyDescent="0.3">
      <c r="A292" t="s">
        <v>407</v>
      </c>
      <c r="B292">
        <v>7439496</v>
      </c>
      <c r="C292" t="s">
        <v>422</v>
      </c>
      <c r="D292">
        <v>101352954</v>
      </c>
      <c r="E292" t="s">
        <v>1562</v>
      </c>
      <c r="F292" s="2" t="s">
        <v>1558</v>
      </c>
      <c r="G292" t="s">
        <v>1563</v>
      </c>
    </row>
    <row r="293" spans="1:7" ht="15" customHeight="1" x14ac:dyDescent="0.3">
      <c r="A293" t="s">
        <v>57</v>
      </c>
      <c r="B293">
        <v>7467067</v>
      </c>
      <c r="C293" t="s">
        <v>59</v>
      </c>
      <c r="D293">
        <v>101238446</v>
      </c>
      <c r="E293" t="s">
        <v>1564</v>
      </c>
      <c r="F293" s="2" t="s">
        <v>1565</v>
      </c>
      <c r="G293" t="s">
        <v>1566</v>
      </c>
    </row>
    <row r="294" spans="1:7" ht="15" customHeight="1" x14ac:dyDescent="0.3">
      <c r="A294" t="s">
        <v>57</v>
      </c>
      <c r="B294">
        <v>7467067</v>
      </c>
      <c r="C294" t="s">
        <v>118</v>
      </c>
      <c r="D294">
        <v>101336095</v>
      </c>
      <c r="E294" t="s">
        <v>1567</v>
      </c>
      <c r="F294" s="2" t="s">
        <v>1565</v>
      </c>
      <c r="G294" t="s">
        <v>1568</v>
      </c>
    </row>
    <row r="295" spans="1:7" ht="15" customHeight="1" x14ac:dyDescent="0.3">
      <c r="A295" t="s">
        <v>104</v>
      </c>
      <c r="B295">
        <v>7470025</v>
      </c>
      <c r="C295" t="s">
        <v>103</v>
      </c>
      <c r="D295">
        <v>101334125</v>
      </c>
      <c r="E295" t="s">
        <v>1569</v>
      </c>
      <c r="F295" s="2" t="s">
        <v>1565</v>
      </c>
      <c r="G295" t="s">
        <v>1570</v>
      </c>
    </row>
    <row r="296" spans="1:7" ht="15" customHeight="1" x14ac:dyDescent="0.3">
      <c r="A296" t="s">
        <v>933</v>
      </c>
      <c r="B296">
        <v>502003</v>
      </c>
      <c r="C296" t="s">
        <v>1035</v>
      </c>
      <c r="D296">
        <v>101346079</v>
      </c>
      <c r="E296" t="s">
        <v>1571</v>
      </c>
      <c r="F296" s="2" t="s">
        <v>1572</v>
      </c>
      <c r="G296" t="s">
        <v>1573</v>
      </c>
    </row>
    <row r="297" spans="1:7" ht="15" customHeight="1" x14ac:dyDescent="0.3">
      <c r="A297" t="s">
        <v>407</v>
      </c>
      <c r="B297">
        <v>7439496</v>
      </c>
      <c r="C297" t="s">
        <v>412</v>
      </c>
      <c r="D297">
        <v>101352950</v>
      </c>
      <c r="E297" t="s">
        <v>1560</v>
      </c>
      <c r="F297" s="2" t="s">
        <v>1572</v>
      </c>
      <c r="G297" t="s">
        <v>1574</v>
      </c>
    </row>
    <row r="298" spans="1:7" ht="15" customHeight="1" x14ac:dyDescent="0.3">
      <c r="A298" t="s">
        <v>24</v>
      </c>
      <c r="B298">
        <v>532951</v>
      </c>
      <c r="C298" t="s">
        <v>64</v>
      </c>
      <c r="D298">
        <v>101314850</v>
      </c>
      <c r="E298" t="s">
        <v>1575</v>
      </c>
      <c r="F298" s="2" t="s">
        <v>1572</v>
      </c>
      <c r="G298" t="s">
        <v>1576</v>
      </c>
    </row>
    <row r="299" spans="1:7" ht="15" customHeight="1" x14ac:dyDescent="0.3">
      <c r="A299" t="s">
        <v>122</v>
      </c>
      <c r="B299">
        <v>7438426</v>
      </c>
      <c r="C299" t="s">
        <v>287</v>
      </c>
      <c r="D299">
        <v>101352955</v>
      </c>
      <c r="E299" t="s">
        <v>1577</v>
      </c>
      <c r="F299" s="2" t="s">
        <v>1578</v>
      </c>
      <c r="G299" t="s">
        <v>1579</v>
      </c>
    </row>
    <row r="300" spans="1:7" ht="15" customHeight="1" x14ac:dyDescent="0.3">
      <c r="A300" t="s">
        <v>122</v>
      </c>
      <c r="B300">
        <v>7438426</v>
      </c>
      <c r="C300" t="s">
        <v>283</v>
      </c>
      <c r="D300">
        <v>101240707</v>
      </c>
      <c r="E300" t="s">
        <v>1580</v>
      </c>
      <c r="F300" s="2" t="s">
        <v>1578</v>
      </c>
      <c r="G300" t="s">
        <v>1581</v>
      </c>
    </row>
    <row r="301" spans="1:7" ht="15" customHeight="1" x14ac:dyDescent="0.3">
      <c r="A301" t="s">
        <v>120</v>
      </c>
      <c r="B301">
        <v>7496125</v>
      </c>
      <c r="C301" t="s">
        <v>119</v>
      </c>
      <c r="D301">
        <v>101352956</v>
      </c>
      <c r="E301" t="s">
        <v>1582</v>
      </c>
      <c r="F301" s="2" t="s">
        <v>1583</v>
      </c>
      <c r="G301" t="s">
        <v>1584</v>
      </c>
    </row>
    <row r="302" spans="1:7" ht="15" customHeight="1" x14ac:dyDescent="0.3">
      <c r="A302" t="s">
        <v>95</v>
      </c>
      <c r="B302">
        <v>7487916</v>
      </c>
      <c r="C302" t="s">
        <v>94</v>
      </c>
      <c r="D302">
        <v>101330543</v>
      </c>
      <c r="E302" t="s">
        <v>1585</v>
      </c>
      <c r="F302" s="2" t="s">
        <v>1586</v>
      </c>
      <c r="G302" t="s">
        <v>1587</v>
      </c>
    </row>
    <row r="303" spans="1:7" ht="15" customHeight="1" x14ac:dyDescent="0.3">
      <c r="A303" t="s">
        <v>97</v>
      </c>
      <c r="B303">
        <v>7463975</v>
      </c>
      <c r="C303" t="s">
        <v>96</v>
      </c>
      <c r="D303">
        <v>101334629</v>
      </c>
      <c r="E303" t="s">
        <v>1588</v>
      </c>
      <c r="F303" s="2" t="s">
        <v>1586</v>
      </c>
      <c r="G303" t="s">
        <v>1589</v>
      </c>
    </row>
    <row r="304" spans="1:7" ht="15" customHeight="1" x14ac:dyDescent="0.3">
      <c r="A304" t="s">
        <v>97</v>
      </c>
      <c r="B304">
        <v>7463975</v>
      </c>
      <c r="C304" t="s">
        <v>101</v>
      </c>
      <c r="D304">
        <v>101203094</v>
      </c>
      <c r="E304" t="s">
        <v>1588</v>
      </c>
      <c r="F304" s="2" t="s">
        <v>1586</v>
      </c>
      <c r="G304" t="s">
        <v>1589</v>
      </c>
    </row>
    <row r="305" spans="1:8" ht="15" customHeight="1" x14ac:dyDescent="0.3">
      <c r="A305" t="s">
        <v>97</v>
      </c>
      <c r="B305">
        <v>7463975</v>
      </c>
      <c r="C305" t="s">
        <v>102</v>
      </c>
      <c r="D305">
        <v>101203092</v>
      </c>
      <c r="E305" t="s">
        <v>1588</v>
      </c>
      <c r="F305" s="2" t="s">
        <v>1586</v>
      </c>
      <c r="G305" t="s">
        <v>1589</v>
      </c>
    </row>
    <row r="306" spans="1:8" ht="15" customHeight="1" x14ac:dyDescent="0.3">
      <c r="A306" t="s">
        <v>97</v>
      </c>
      <c r="B306">
        <v>7463975</v>
      </c>
      <c r="C306" t="s">
        <v>105</v>
      </c>
      <c r="D306">
        <v>101203093</v>
      </c>
      <c r="E306" t="s">
        <v>1588</v>
      </c>
      <c r="F306" s="2" t="s">
        <v>1586</v>
      </c>
      <c r="G306" t="s">
        <v>1589</v>
      </c>
    </row>
    <row r="307" spans="1:8" ht="15" customHeight="1" x14ac:dyDescent="0.3">
      <c r="A307" t="s">
        <v>933</v>
      </c>
      <c r="B307">
        <v>502003</v>
      </c>
      <c r="C307" t="s">
        <v>970</v>
      </c>
      <c r="D307">
        <v>101321224</v>
      </c>
      <c r="E307" t="s">
        <v>1590</v>
      </c>
      <c r="F307" s="2" t="s">
        <v>1591</v>
      </c>
      <c r="G307" t="s">
        <v>1592</v>
      </c>
    </row>
    <row r="308" spans="1:8" ht="15" customHeight="1" x14ac:dyDescent="0.3">
      <c r="A308" t="s">
        <v>99</v>
      </c>
      <c r="B308">
        <v>7461439</v>
      </c>
      <c r="C308" t="s">
        <v>100</v>
      </c>
      <c r="D308">
        <v>101334635</v>
      </c>
      <c r="E308" t="s">
        <v>1593</v>
      </c>
      <c r="F308" s="2" t="s">
        <v>1591</v>
      </c>
      <c r="G308" t="s">
        <v>1594</v>
      </c>
    </row>
    <row r="309" spans="1:8" ht="15" customHeight="1" x14ac:dyDescent="0.3">
      <c r="A309" t="s">
        <v>1595</v>
      </c>
      <c r="B309">
        <v>523553</v>
      </c>
      <c r="C309" t="s">
        <v>1439</v>
      </c>
      <c r="D309">
        <v>101326700</v>
      </c>
      <c r="E309" t="s">
        <v>1550</v>
      </c>
      <c r="F309" s="2" t="s">
        <v>1596</v>
      </c>
      <c r="G309" t="s">
        <v>1597</v>
      </c>
    </row>
    <row r="310" spans="1:8" ht="15" customHeight="1" x14ac:dyDescent="0.3">
      <c r="A310" t="s">
        <v>1595</v>
      </c>
      <c r="B310">
        <v>523553</v>
      </c>
      <c r="C310" t="s">
        <v>369</v>
      </c>
      <c r="D310">
        <v>101350383</v>
      </c>
      <c r="E310" t="s">
        <v>1550</v>
      </c>
      <c r="F310" s="2" t="s">
        <v>1596</v>
      </c>
      <c r="G310" t="s">
        <v>1597</v>
      </c>
    </row>
    <row r="311" spans="1:8" ht="15" customHeight="1" x14ac:dyDescent="0.3">
      <c r="A311" t="s">
        <v>1595</v>
      </c>
      <c r="B311">
        <v>523553</v>
      </c>
      <c r="C311" t="s">
        <v>359</v>
      </c>
      <c r="D311">
        <v>101334597</v>
      </c>
      <c r="E311" t="s">
        <v>1598</v>
      </c>
      <c r="F311" s="2" t="s">
        <v>1596</v>
      </c>
      <c r="G311" t="s">
        <v>1599</v>
      </c>
    </row>
    <row r="312" spans="1:8" ht="15" customHeight="1" x14ac:dyDescent="0.3">
      <c r="A312" t="s">
        <v>1595</v>
      </c>
      <c r="B312">
        <v>523553</v>
      </c>
      <c r="C312" t="s">
        <v>398</v>
      </c>
      <c r="D312">
        <v>101350375</v>
      </c>
      <c r="E312" t="s">
        <v>1598</v>
      </c>
      <c r="F312" s="2" t="s">
        <v>1596</v>
      </c>
      <c r="G312" t="s">
        <v>1599</v>
      </c>
    </row>
    <row r="313" spans="1:8" ht="15" customHeight="1" x14ac:dyDescent="0.3">
      <c r="A313" t="s">
        <v>1595</v>
      </c>
      <c r="B313">
        <v>523553</v>
      </c>
      <c r="C313" t="s">
        <v>357</v>
      </c>
      <c r="D313">
        <v>101350380</v>
      </c>
      <c r="E313" t="s">
        <v>1598</v>
      </c>
      <c r="F313" s="2" t="s">
        <v>1596</v>
      </c>
      <c r="G313" t="s">
        <v>1599</v>
      </c>
    </row>
    <row r="314" spans="1:8" ht="15" customHeight="1" x14ac:dyDescent="0.3">
      <c r="A314" t="s">
        <v>1595</v>
      </c>
      <c r="B314">
        <v>523553</v>
      </c>
      <c r="C314" t="s">
        <v>1600</v>
      </c>
      <c r="D314">
        <v>101350381</v>
      </c>
      <c r="E314" t="s">
        <v>1598</v>
      </c>
      <c r="F314" s="2" t="s">
        <v>1596</v>
      </c>
      <c r="G314" t="s">
        <v>1599</v>
      </c>
    </row>
    <row r="315" spans="1:8" ht="15" customHeight="1" x14ac:dyDescent="0.3">
      <c r="A315" t="s">
        <v>1595</v>
      </c>
      <c r="B315">
        <v>523553</v>
      </c>
      <c r="C315" t="s">
        <v>394</v>
      </c>
      <c r="D315">
        <v>101350382</v>
      </c>
      <c r="E315" t="s">
        <v>1598</v>
      </c>
      <c r="F315" s="2" t="s">
        <v>1596</v>
      </c>
      <c r="G315" t="s">
        <v>1599</v>
      </c>
    </row>
    <row r="316" spans="1:8" ht="15" customHeight="1" x14ac:dyDescent="0.3">
      <c r="A316" t="s">
        <v>1595</v>
      </c>
      <c r="B316">
        <v>523553</v>
      </c>
      <c r="C316" t="s">
        <v>390</v>
      </c>
      <c r="D316">
        <v>101334613</v>
      </c>
      <c r="E316" t="s">
        <v>1598</v>
      </c>
      <c r="F316" s="2" t="s">
        <v>1596</v>
      </c>
      <c r="G316" t="s">
        <v>1599</v>
      </c>
    </row>
    <row r="317" spans="1:8" ht="15" customHeight="1" x14ac:dyDescent="0.3">
      <c r="A317" t="s">
        <v>1595</v>
      </c>
      <c r="B317">
        <v>523553</v>
      </c>
      <c r="C317" t="s">
        <v>376</v>
      </c>
      <c r="D317">
        <v>101334606</v>
      </c>
      <c r="E317" t="s">
        <v>1598</v>
      </c>
      <c r="F317" s="2" t="s">
        <v>1596</v>
      </c>
      <c r="G317" t="s">
        <v>1599</v>
      </c>
    </row>
    <row r="318" spans="1:8" ht="15" customHeight="1" x14ac:dyDescent="0.3">
      <c r="A318" t="s">
        <v>1595</v>
      </c>
      <c r="B318">
        <v>523553</v>
      </c>
      <c r="C318" t="s">
        <v>390</v>
      </c>
      <c r="D318">
        <v>101334613</v>
      </c>
      <c r="E318" t="s">
        <v>1601</v>
      </c>
      <c r="F318" s="2" t="s">
        <v>1602</v>
      </c>
      <c r="G318" t="s">
        <v>1603</v>
      </c>
    </row>
    <row r="319" spans="1:8" ht="15" customHeight="1" x14ac:dyDescent="0.3">
      <c r="A319" t="s">
        <v>1604</v>
      </c>
      <c r="B319">
        <v>7496125</v>
      </c>
      <c r="C319" t="s">
        <v>119</v>
      </c>
      <c r="D319">
        <v>101352956</v>
      </c>
      <c r="E319" t="s">
        <v>1605</v>
      </c>
      <c r="F319" s="2" t="s">
        <v>1602</v>
      </c>
      <c r="G319" t="s">
        <v>1606</v>
      </c>
      <c r="H319" s="2"/>
    </row>
    <row r="320" spans="1:8" ht="15" customHeight="1" x14ac:dyDescent="0.3">
      <c r="A320" t="s">
        <v>122</v>
      </c>
      <c r="B320">
        <v>7438426</v>
      </c>
      <c r="C320" t="s">
        <v>1486</v>
      </c>
      <c r="D320">
        <v>101244648</v>
      </c>
      <c r="E320" t="s">
        <v>1607</v>
      </c>
      <c r="F320" s="2" t="s">
        <v>1608</v>
      </c>
      <c r="G320" t="s">
        <v>1609</v>
      </c>
      <c r="H320" s="2"/>
    </row>
    <row r="321" spans="1:8" ht="15" customHeight="1" x14ac:dyDescent="0.3">
      <c r="A321" t="s">
        <v>122</v>
      </c>
      <c r="B321">
        <v>7438426</v>
      </c>
      <c r="C321" t="s">
        <v>304</v>
      </c>
      <c r="D321">
        <v>100913315</v>
      </c>
      <c r="E321" t="s">
        <v>1607</v>
      </c>
      <c r="F321" s="2" t="s">
        <v>1608</v>
      </c>
      <c r="G321" t="s">
        <v>1609</v>
      </c>
      <c r="H321" s="2"/>
    </row>
    <row r="322" spans="1:8" ht="15" customHeight="1" x14ac:dyDescent="0.3">
      <c r="A322" t="s">
        <v>122</v>
      </c>
      <c r="B322">
        <v>525520</v>
      </c>
      <c r="C322" t="s">
        <v>283</v>
      </c>
      <c r="D322">
        <v>101240707</v>
      </c>
      <c r="E322" t="s">
        <v>1607</v>
      </c>
      <c r="F322" s="2" t="s">
        <v>1608</v>
      </c>
      <c r="G322" t="s">
        <v>1609</v>
      </c>
      <c r="H322" s="2"/>
    </row>
    <row r="323" spans="1:8" ht="15" customHeight="1" x14ac:dyDescent="0.3">
      <c r="A323" t="s">
        <v>122</v>
      </c>
      <c r="B323">
        <v>525520</v>
      </c>
      <c r="C323" t="s">
        <v>342</v>
      </c>
      <c r="D323">
        <v>101252649</v>
      </c>
      <c r="E323" t="s">
        <v>1607</v>
      </c>
      <c r="F323" s="2" t="s">
        <v>1608</v>
      </c>
      <c r="G323" t="s">
        <v>1609</v>
      </c>
      <c r="H323" s="2"/>
    </row>
    <row r="324" spans="1:8" ht="15" customHeight="1" x14ac:dyDescent="0.3">
      <c r="A324" t="s">
        <v>122</v>
      </c>
      <c r="B324">
        <v>7438426</v>
      </c>
      <c r="C324" t="s">
        <v>121</v>
      </c>
      <c r="D324">
        <v>101244645</v>
      </c>
      <c r="E324" t="s">
        <v>1607</v>
      </c>
      <c r="F324" s="2" t="s">
        <v>1608</v>
      </c>
      <c r="G324" t="s">
        <v>1609</v>
      </c>
      <c r="H324" s="2"/>
    </row>
    <row r="325" spans="1:8" ht="15" customHeight="1" x14ac:dyDescent="0.3">
      <c r="A325" t="s">
        <v>83</v>
      </c>
      <c r="B325">
        <v>7477481</v>
      </c>
      <c r="C325" t="s">
        <v>82</v>
      </c>
      <c r="D325">
        <v>101252412</v>
      </c>
      <c r="E325" t="s">
        <v>1610</v>
      </c>
      <c r="F325" s="2" t="s">
        <v>1608</v>
      </c>
      <c r="G325" t="s">
        <v>1611</v>
      </c>
      <c r="H325" s="2"/>
    </row>
    <row r="326" spans="1:8" ht="15" customHeight="1" x14ac:dyDescent="0.3">
      <c r="A326" t="s">
        <v>24</v>
      </c>
      <c r="B326">
        <v>532861</v>
      </c>
      <c r="C326" t="s">
        <v>23</v>
      </c>
      <c r="D326">
        <v>100922948</v>
      </c>
      <c r="E326" t="s">
        <v>1612</v>
      </c>
      <c r="F326" s="2" t="s">
        <v>1613</v>
      </c>
      <c r="G326" t="s">
        <v>1614</v>
      </c>
      <c r="H326" s="2"/>
    </row>
    <row r="327" spans="1:8" ht="14.25" customHeight="1" x14ac:dyDescent="0.3">
      <c r="A327" t="s">
        <v>57</v>
      </c>
      <c r="B327">
        <v>7467067</v>
      </c>
      <c r="C327" t="s">
        <v>59</v>
      </c>
      <c r="D327">
        <v>101238446</v>
      </c>
      <c r="E327" t="s">
        <v>1615</v>
      </c>
      <c r="F327" s="2" t="s">
        <v>1536</v>
      </c>
      <c r="G327" t="s">
        <v>1616</v>
      </c>
      <c r="H327" s="2"/>
    </row>
    <row r="328" spans="1:8" ht="15" customHeight="1" x14ac:dyDescent="0.3">
      <c r="A328" t="s">
        <v>35</v>
      </c>
      <c r="B328">
        <v>532264</v>
      </c>
      <c r="C328" t="s">
        <v>34</v>
      </c>
      <c r="D328">
        <v>101225859</v>
      </c>
      <c r="E328" t="s">
        <v>1617</v>
      </c>
      <c r="F328" s="2" t="s">
        <v>1536</v>
      </c>
      <c r="G328" t="s">
        <v>1618</v>
      </c>
      <c r="H328" s="2"/>
    </row>
    <row r="329" spans="1:8" ht="15" customHeight="1" x14ac:dyDescent="0.3">
      <c r="A329" t="s">
        <v>24</v>
      </c>
      <c r="B329">
        <v>532861</v>
      </c>
      <c r="C329" t="s">
        <v>23</v>
      </c>
      <c r="D329">
        <v>100922948</v>
      </c>
      <c r="E329" t="s">
        <v>1619</v>
      </c>
      <c r="F329" s="2" t="s">
        <v>1620</v>
      </c>
      <c r="G329" t="s">
        <v>1621</v>
      </c>
      <c r="H329" s="2"/>
    </row>
    <row r="330" spans="1:8" ht="15" customHeight="1" x14ac:dyDescent="0.3">
      <c r="A330" t="s">
        <v>24</v>
      </c>
      <c r="B330">
        <v>532861</v>
      </c>
      <c r="C330" t="s">
        <v>23</v>
      </c>
      <c r="D330">
        <v>100922948</v>
      </c>
      <c r="E330" t="s">
        <v>1622</v>
      </c>
      <c r="F330" s="2" t="s">
        <v>1623</v>
      </c>
      <c r="G330" t="s">
        <v>1621</v>
      </c>
      <c r="H330" s="2"/>
    </row>
    <row r="331" spans="1:8" ht="15" customHeight="1" x14ac:dyDescent="0.3">
      <c r="A331" t="s">
        <v>933</v>
      </c>
      <c r="B331">
        <v>502003</v>
      </c>
      <c r="C331" t="s">
        <v>1035</v>
      </c>
      <c r="D331">
        <v>101346079</v>
      </c>
      <c r="E331" t="s">
        <v>1624</v>
      </c>
      <c r="F331" s="2" t="s">
        <v>1625</v>
      </c>
      <c r="G331" t="s">
        <v>1626</v>
      </c>
      <c r="H331" s="2"/>
    </row>
    <row r="332" spans="1:8" ht="15" customHeight="1" x14ac:dyDescent="0.3">
      <c r="A332" t="s">
        <v>24</v>
      </c>
      <c r="B332">
        <v>532861</v>
      </c>
      <c r="C332" t="s">
        <v>23</v>
      </c>
      <c r="D332">
        <v>100922948</v>
      </c>
      <c r="E332" t="s">
        <v>1619</v>
      </c>
      <c r="F332" s="2" t="s">
        <v>1625</v>
      </c>
      <c r="G332" t="s">
        <v>1627</v>
      </c>
      <c r="H332" s="2"/>
    </row>
    <row r="333" spans="1:8" ht="15" customHeight="1" x14ac:dyDescent="0.3">
      <c r="A333" t="s">
        <v>24</v>
      </c>
      <c r="B333">
        <v>532861</v>
      </c>
      <c r="C333" t="s">
        <v>23</v>
      </c>
      <c r="D333">
        <v>100922948</v>
      </c>
      <c r="E333" t="s">
        <v>1619</v>
      </c>
      <c r="F333" s="2" t="s">
        <v>1628</v>
      </c>
      <c r="G333" t="s">
        <v>1621</v>
      </c>
      <c r="H333" s="2"/>
    </row>
    <row r="334" spans="1:8" ht="15" customHeight="1" x14ac:dyDescent="0.3">
      <c r="A334" t="s">
        <v>24</v>
      </c>
      <c r="B334">
        <v>532861</v>
      </c>
      <c r="C334" t="s">
        <v>23</v>
      </c>
      <c r="D334">
        <v>100922948</v>
      </c>
      <c r="E334" t="s">
        <v>1619</v>
      </c>
      <c r="F334" s="2" t="s">
        <v>1629</v>
      </c>
      <c r="G334" t="s">
        <v>1621</v>
      </c>
      <c r="H334" s="2"/>
    </row>
    <row r="335" spans="1:8" ht="15" customHeight="1" x14ac:dyDescent="0.3">
      <c r="A335" t="s">
        <v>407</v>
      </c>
      <c r="B335">
        <v>7439496</v>
      </c>
      <c r="C335" t="s">
        <v>1630</v>
      </c>
      <c r="D335">
        <v>101264894</v>
      </c>
      <c r="E335" t="s">
        <v>1631</v>
      </c>
      <c r="F335" s="2" t="s">
        <v>1629</v>
      </c>
      <c r="G335" t="s">
        <v>1632</v>
      </c>
      <c r="H335" s="2"/>
    </row>
    <row r="336" spans="1:8" ht="15" customHeight="1" x14ac:dyDescent="0.3">
      <c r="A336" t="s">
        <v>407</v>
      </c>
      <c r="B336">
        <v>7439496</v>
      </c>
      <c r="C336" t="s">
        <v>422</v>
      </c>
      <c r="D336">
        <v>101352954</v>
      </c>
      <c r="E336" t="s">
        <v>1633</v>
      </c>
      <c r="F336" s="2" t="s">
        <v>1629</v>
      </c>
      <c r="G336" t="s">
        <v>1632</v>
      </c>
      <c r="H336" s="2"/>
    </row>
    <row r="337" spans="1:8" ht="15" customHeight="1" x14ac:dyDescent="0.3">
      <c r="A337" t="s">
        <v>407</v>
      </c>
      <c r="B337">
        <v>7439496</v>
      </c>
      <c r="C337" t="s">
        <v>442</v>
      </c>
      <c r="D337">
        <v>101266280</v>
      </c>
      <c r="E337" t="s">
        <v>1631</v>
      </c>
      <c r="F337" s="2" t="s">
        <v>1629</v>
      </c>
      <c r="G337" t="s">
        <v>1632</v>
      </c>
      <c r="H337" s="2"/>
    </row>
    <row r="338" spans="1:8" ht="15" customHeight="1" x14ac:dyDescent="0.3">
      <c r="A338" t="s">
        <v>104</v>
      </c>
      <c r="B338">
        <v>7470025</v>
      </c>
      <c r="C338" t="s">
        <v>1634</v>
      </c>
      <c r="D338">
        <v>101334125</v>
      </c>
      <c r="E338" t="s">
        <v>1635</v>
      </c>
      <c r="F338" s="2" t="s">
        <v>1636</v>
      </c>
      <c r="G338" t="s">
        <v>1637</v>
      </c>
      <c r="H338" s="2"/>
    </row>
    <row r="339" spans="1:8" ht="15" customHeight="1" x14ac:dyDescent="0.3">
      <c r="A339" t="s">
        <v>104</v>
      </c>
      <c r="B339">
        <v>7470025</v>
      </c>
      <c r="C339" t="s">
        <v>1638</v>
      </c>
      <c r="D339">
        <v>101323980</v>
      </c>
      <c r="E339" t="s">
        <v>1639</v>
      </c>
      <c r="F339" s="2" t="s">
        <v>1636</v>
      </c>
      <c r="G339" t="s">
        <v>1640</v>
      </c>
      <c r="H339" s="2"/>
    </row>
    <row r="340" spans="1:8" ht="15" customHeight="1" x14ac:dyDescent="0.3">
      <c r="A340" t="s">
        <v>104</v>
      </c>
      <c r="B340">
        <v>7470025</v>
      </c>
      <c r="C340" t="s">
        <v>1634</v>
      </c>
      <c r="D340">
        <v>101334125</v>
      </c>
      <c r="E340" t="s">
        <v>1641</v>
      </c>
      <c r="F340" s="2" t="s">
        <v>1642</v>
      </c>
      <c r="G340" t="s">
        <v>1643</v>
      </c>
      <c r="H340" s="2"/>
    </row>
    <row r="341" spans="1:8" ht="15" customHeight="1" x14ac:dyDescent="0.3">
      <c r="A341" t="s">
        <v>122</v>
      </c>
      <c r="B341">
        <v>7438426</v>
      </c>
      <c r="C341" t="s">
        <v>318</v>
      </c>
      <c r="D341">
        <v>101359430</v>
      </c>
      <c r="H341" s="2"/>
    </row>
    <row r="342" spans="1:8" ht="15" customHeight="1" x14ac:dyDescent="0.3">
      <c r="A342" t="s">
        <v>122</v>
      </c>
      <c r="B342">
        <v>7438426</v>
      </c>
      <c r="C342" t="s">
        <v>304</v>
      </c>
      <c r="D342">
        <v>100913315</v>
      </c>
      <c r="E342" t="s">
        <v>1641</v>
      </c>
      <c r="F342" s="2" t="s">
        <v>1642</v>
      </c>
      <c r="G342" t="s">
        <v>1643</v>
      </c>
    </row>
    <row r="343" spans="1:8" ht="15" customHeight="1" x14ac:dyDescent="0.3">
      <c r="A343" t="s">
        <v>122</v>
      </c>
      <c r="B343">
        <v>525520</v>
      </c>
      <c r="C343" t="s">
        <v>283</v>
      </c>
      <c r="D343">
        <v>101240707</v>
      </c>
      <c r="E343" t="s">
        <v>1641</v>
      </c>
      <c r="F343" s="2" t="s">
        <v>1642</v>
      </c>
      <c r="G343" t="s">
        <v>1643</v>
      </c>
    </row>
    <row r="344" spans="1:8" ht="15" customHeight="1" x14ac:dyDescent="0.3">
      <c r="A344" t="s">
        <v>122</v>
      </c>
      <c r="B344">
        <v>525520</v>
      </c>
      <c r="C344" t="s">
        <v>342</v>
      </c>
      <c r="D344">
        <v>101252649</v>
      </c>
      <c r="E344" t="s">
        <v>1641</v>
      </c>
      <c r="F344" s="2" t="s">
        <v>1642</v>
      </c>
      <c r="G344" t="s">
        <v>1643</v>
      </c>
    </row>
    <row r="345" spans="1:8" ht="15" customHeight="1" x14ac:dyDescent="0.3">
      <c r="A345" t="s">
        <v>122</v>
      </c>
      <c r="B345">
        <v>7438426</v>
      </c>
      <c r="C345" t="s">
        <v>121</v>
      </c>
      <c r="D345">
        <v>101244645</v>
      </c>
      <c r="E345" t="s">
        <v>1641</v>
      </c>
      <c r="F345" s="2" t="s">
        <v>1642</v>
      </c>
      <c r="G345" t="s">
        <v>1643</v>
      </c>
    </row>
    <row r="346" spans="1:8" ht="15" customHeight="1" x14ac:dyDescent="0.3">
      <c r="A346" t="s">
        <v>122</v>
      </c>
      <c r="B346">
        <v>7438426</v>
      </c>
      <c r="C346" t="s">
        <v>1437</v>
      </c>
      <c r="D346">
        <v>101335079</v>
      </c>
      <c r="E346" t="s">
        <v>1641</v>
      </c>
      <c r="F346" s="2" t="s">
        <v>1642</v>
      </c>
      <c r="G346" t="s">
        <v>1643</v>
      </c>
    </row>
    <row r="347" spans="1:8" ht="15" customHeight="1" x14ac:dyDescent="0.3">
      <c r="A347" t="s">
        <v>122</v>
      </c>
      <c r="B347">
        <v>7438426</v>
      </c>
      <c r="C347" t="s">
        <v>318</v>
      </c>
      <c r="D347">
        <v>101359430</v>
      </c>
      <c r="E347" t="s">
        <v>1641</v>
      </c>
      <c r="F347" s="2" t="s">
        <v>1642</v>
      </c>
      <c r="G347" t="s">
        <v>1643</v>
      </c>
    </row>
    <row r="348" spans="1:8" ht="15" customHeight="1" x14ac:dyDescent="0.3">
      <c r="A348" t="s">
        <v>122</v>
      </c>
      <c r="B348">
        <v>7438426</v>
      </c>
      <c r="C348" t="s">
        <v>1644</v>
      </c>
      <c r="D348">
        <v>101359431</v>
      </c>
      <c r="E348" t="s">
        <v>1641</v>
      </c>
      <c r="F348" s="2" t="s">
        <v>1642</v>
      </c>
      <c r="G348" t="s">
        <v>1643</v>
      </c>
    </row>
    <row r="349" spans="1:8" ht="15" customHeight="1" x14ac:dyDescent="0.3">
      <c r="A349" t="s">
        <v>122</v>
      </c>
      <c r="B349">
        <v>7438426</v>
      </c>
      <c r="C349" t="s">
        <v>1645</v>
      </c>
      <c r="D349">
        <v>101359432</v>
      </c>
      <c r="E349" t="s">
        <v>1641</v>
      </c>
      <c r="F349" s="2" t="s">
        <v>1642</v>
      </c>
      <c r="G349" t="s">
        <v>1643</v>
      </c>
    </row>
    <row r="350" spans="1:8" ht="15" customHeight="1" x14ac:dyDescent="0.3">
      <c r="A350" t="s">
        <v>122</v>
      </c>
      <c r="B350">
        <v>7438426</v>
      </c>
      <c r="C350" t="s">
        <v>308</v>
      </c>
      <c r="D350">
        <v>101334295</v>
      </c>
      <c r="E350" t="s">
        <v>1641</v>
      </c>
      <c r="F350" s="2" t="s">
        <v>1642</v>
      </c>
      <c r="G350" t="s">
        <v>1643</v>
      </c>
    </row>
    <row r="351" spans="1:8" ht="15" customHeight="1" x14ac:dyDescent="0.3">
      <c r="A351" t="s">
        <v>124</v>
      </c>
      <c r="B351">
        <v>526424</v>
      </c>
      <c r="C351" t="s">
        <v>123</v>
      </c>
      <c r="D351">
        <v>101213521</v>
      </c>
      <c r="E351" t="s">
        <v>1646</v>
      </c>
      <c r="F351" s="2" t="s">
        <v>1647</v>
      </c>
      <c r="G351" t="s">
        <v>1648</v>
      </c>
    </row>
    <row r="352" spans="1:8" ht="15" customHeight="1" x14ac:dyDescent="0.3">
      <c r="A352" t="s">
        <v>55</v>
      </c>
      <c r="B352">
        <v>7461854</v>
      </c>
      <c r="C352" t="s">
        <v>54</v>
      </c>
      <c r="D352">
        <v>101252641</v>
      </c>
      <c r="E352" t="s">
        <v>1649</v>
      </c>
      <c r="F352" s="2" t="s">
        <v>1650</v>
      </c>
      <c r="G352" t="s">
        <v>1651</v>
      </c>
    </row>
    <row r="353" spans="1:7" ht="15" customHeight="1" x14ac:dyDescent="0.3">
      <c r="A353" t="s">
        <v>24</v>
      </c>
      <c r="B353">
        <v>532861</v>
      </c>
      <c r="C353" t="s">
        <v>1652</v>
      </c>
      <c r="D353">
        <v>100922948</v>
      </c>
      <c r="E353" t="s">
        <v>1619</v>
      </c>
      <c r="F353" s="2" t="s">
        <v>1650</v>
      </c>
      <c r="G353" t="s">
        <v>1653</v>
      </c>
    </row>
    <row r="354" spans="1:7" ht="15" customHeight="1" x14ac:dyDescent="0.3">
      <c r="A354" t="s">
        <v>126</v>
      </c>
      <c r="B354">
        <v>518728</v>
      </c>
      <c r="C354" t="s">
        <v>125</v>
      </c>
      <c r="D354">
        <v>101210982</v>
      </c>
      <c r="E354" t="s">
        <v>1654</v>
      </c>
      <c r="F354" s="2" t="s">
        <v>1655</v>
      </c>
      <c r="G354" t="s">
        <v>1656</v>
      </c>
    </row>
    <row r="355" spans="1:7" ht="15" customHeight="1" x14ac:dyDescent="0.3">
      <c r="A355" t="s">
        <v>126</v>
      </c>
      <c r="B355">
        <v>518728</v>
      </c>
      <c r="C355" t="s">
        <v>128</v>
      </c>
      <c r="D355">
        <v>100907950</v>
      </c>
      <c r="E355" t="s">
        <v>1654</v>
      </c>
      <c r="F355" s="2" t="s">
        <v>1655</v>
      </c>
      <c r="G355" t="s">
        <v>1656</v>
      </c>
    </row>
    <row r="356" spans="1:7" ht="15" customHeight="1" x14ac:dyDescent="0.3">
      <c r="A356" t="s">
        <v>126</v>
      </c>
      <c r="B356">
        <v>518728</v>
      </c>
      <c r="C356" t="s">
        <v>127</v>
      </c>
      <c r="D356">
        <v>100907962</v>
      </c>
      <c r="E356" t="s">
        <v>1654</v>
      </c>
      <c r="F356" s="2" t="s">
        <v>1655</v>
      </c>
      <c r="G356" t="s">
        <v>1656</v>
      </c>
    </row>
    <row r="357" spans="1:7" ht="15" customHeight="1" x14ac:dyDescent="0.3">
      <c r="A357" t="s">
        <v>126</v>
      </c>
      <c r="B357">
        <v>518728</v>
      </c>
      <c r="C357" t="s">
        <v>125</v>
      </c>
      <c r="D357">
        <v>101210982</v>
      </c>
      <c r="E357" t="s">
        <v>1657</v>
      </c>
      <c r="F357" s="2" t="s">
        <v>1658</v>
      </c>
      <c r="G357" t="s">
        <v>1466</v>
      </c>
    </row>
    <row r="358" spans="1:7" ht="15" customHeight="1" x14ac:dyDescent="0.3">
      <c r="A358" t="s">
        <v>55</v>
      </c>
      <c r="B358">
        <v>7461854</v>
      </c>
      <c r="C358" t="s">
        <v>54</v>
      </c>
      <c r="D358">
        <v>101252641</v>
      </c>
      <c r="E358" t="s">
        <v>1659</v>
      </c>
      <c r="F358" s="2" t="s">
        <v>1660</v>
      </c>
      <c r="G358" t="s">
        <v>1661</v>
      </c>
    </row>
    <row r="359" spans="1:7" ht="15" customHeight="1" x14ac:dyDescent="0.3">
      <c r="A359" t="s">
        <v>83</v>
      </c>
      <c r="B359">
        <v>7477481</v>
      </c>
      <c r="C359" t="s">
        <v>82</v>
      </c>
      <c r="D359">
        <v>101252412</v>
      </c>
      <c r="E359" t="s">
        <v>1662</v>
      </c>
      <c r="F359" s="2" t="s">
        <v>1608</v>
      </c>
      <c r="G359" t="s">
        <v>1663</v>
      </c>
    </row>
    <row r="360" spans="1:7" ht="15" customHeight="1" x14ac:dyDescent="0.3">
      <c r="A360" t="s">
        <v>24</v>
      </c>
      <c r="B360">
        <v>532951</v>
      </c>
      <c r="C360" t="s">
        <v>1664</v>
      </c>
      <c r="D360">
        <v>101314850</v>
      </c>
      <c r="E360" t="s">
        <v>1665</v>
      </c>
      <c r="F360" s="2" t="s">
        <v>1608</v>
      </c>
      <c r="G360" t="s">
        <v>1666</v>
      </c>
    </row>
    <row r="361" spans="1:7" ht="15" customHeight="1" x14ac:dyDescent="0.3">
      <c r="A361" t="s">
        <v>122</v>
      </c>
      <c r="B361">
        <v>7438426</v>
      </c>
      <c r="C361" t="s">
        <v>1667</v>
      </c>
      <c r="D361">
        <v>100913315</v>
      </c>
      <c r="E361" t="s">
        <v>1668</v>
      </c>
      <c r="F361" s="2" t="s">
        <v>1625</v>
      </c>
      <c r="G361" t="s">
        <v>1669</v>
      </c>
    </row>
    <row r="362" spans="1:7" ht="15" customHeight="1" x14ac:dyDescent="0.3">
      <c r="A362" t="s">
        <v>130</v>
      </c>
      <c r="B362">
        <v>7458973</v>
      </c>
      <c r="C362" t="s">
        <v>1670</v>
      </c>
      <c r="D362">
        <v>101359435</v>
      </c>
      <c r="E362" t="s">
        <v>1671</v>
      </c>
      <c r="F362" s="2" t="s">
        <v>1672</v>
      </c>
      <c r="G362" t="s">
        <v>1673</v>
      </c>
    </row>
    <row r="363" spans="1:7" ht="15" customHeight="1" x14ac:dyDescent="0.3">
      <c r="A363" t="s">
        <v>130</v>
      </c>
      <c r="B363">
        <v>7458973</v>
      </c>
      <c r="C363" t="s">
        <v>1674</v>
      </c>
      <c r="D363">
        <v>101359433</v>
      </c>
      <c r="E363" t="s">
        <v>1671</v>
      </c>
      <c r="F363" s="2" t="s">
        <v>1672</v>
      </c>
      <c r="G363" t="s">
        <v>1673</v>
      </c>
    </row>
    <row r="364" spans="1:7" ht="15" customHeight="1" x14ac:dyDescent="0.3">
      <c r="A364" t="s">
        <v>130</v>
      </c>
      <c r="B364">
        <v>7458973</v>
      </c>
      <c r="C364" t="s">
        <v>1675</v>
      </c>
      <c r="D364">
        <v>101359434</v>
      </c>
      <c r="E364" t="s">
        <v>1671</v>
      </c>
      <c r="F364" s="2" t="s">
        <v>1672</v>
      </c>
      <c r="G364" t="s">
        <v>1673</v>
      </c>
    </row>
    <row r="365" spans="1:7" ht="15" customHeight="1" x14ac:dyDescent="0.3">
      <c r="A365" t="s">
        <v>122</v>
      </c>
      <c r="B365">
        <v>7438426</v>
      </c>
      <c r="C365" t="s">
        <v>318</v>
      </c>
      <c r="D365">
        <v>101359430</v>
      </c>
      <c r="E365" t="s">
        <v>1676</v>
      </c>
      <c r="F365" s="2" t="s">
        <v>1677</v>
      </c>
      <c r="G365" t="s">
        <v>1678</v>
      </c>
    </row>
    <row r="366" spans="1:7" ht="15" customHeight="1" x14ac:dyDescent="0.3">
      <c r="A366" t="s">
        <v>122</v>
      </c>
      <c r="B366">
        <v>7438426</v>
      </c>
      <c r="C366" t="s">
        <v>1437</v>
      </c>
      <c r="D366">
        <v>101335079</v>
      </c>
      <c r="E366" t="s">
        <v>1676</v>
      </c>
      <c r="F366" s="2" t="s">
        <v>1677</v>
      </c>
      <c r="G366" t="s">
        <v>1678</v>
      </c>
    </row>
    <row r="367" spans="1:7" ht="15" customHeight="1" x14ac:dyDescent="0.3">
      <c r="A367" t="s">
        <v>122</v>
      </c>
      <c r="B367">
        <v>7438426</v>
      </c>
      <c r="C367" t="s">
        <v>308</v>
      </c>
      <c r="D367">
        <v>101334295</v>
      </c>
      <c r="E367" t="s">
        <v>1676</v>
      </c>
      <c r="F367" s="2" t="s">
        <v>1677</v>
      </c>
      <c r="G367" t="s">
        <v>1678</v>
      </c>
    </row>
    <row r="368" spans="1:7" ht="15" customHeight="1" x14ac:dyDescent="0.3">
      <c r="A368" t="s">
        <v>126</v>
      </c>
      <c r="B368">
        <v>518728</v>
      </c>
      <c r="C368" t="s">
        <v>125</v>
      </c>
      <c r="D368">
        <v>101210982</v>
      </c>
      <c r="E368" t="s">
        <v>1679</v>
      </c>
      <c r="F368" s="2" t="s">
        <v>1680</v>
      </c>
      <c r="G368" t="s">
        <v>1681</v>
      </c>
    </row>
    <row r="369" spans="1:7" ht="15" customHeight="1" x14ac:dyDescent="0.3">
      <c r="A369" t="s">
        <v>933</v>
      </c>
      <c r="B369">
        <v>502003</v>
      </c>
      <c r="C369" t="s">
        <v>992</v>
      </c>
      <c r="D369">
        <v>101009847</v>
      </c>
      <c r="E369" t="s">
        <v>1682</v>
      </c>
      <c r="F369" s="2" t="s">
        <v>1683</v>
      </c>
      <c r="G369" t="s">
        <v>1684</v>
      </c>
    </row>
    <row r="370" spans="1:7" ht="15" customHeight="1" x14ac:dyDescent="0.3">
      <c r="A370" t="s">
        <v>95</v>
      </c>
      <c r="B370">
        <v>7487916</v>
      </c>
      <c r="C370" t="s">
        <v>133</v>
      </c>
      <c r="D370">
        <v>101361951</v>
      </c>
      <c r="E370" t="s">
        <v>1682</v>
      </c>
      <c r="F370" s="2" t="s">
        <v>1683</v>
      </c>
      <c r="G370" t="s">
        <v>1684</v>
      </c>
    </row>
    <row r="371" spans="1:7" ht="15" customHeight="1" x14ac:dyDescent="0.3">
      <c r="A371" t="s">
        <v>95</v>
      </c>
      <c r="B371">
        <v>7487916</v>
      </c>
      <c r="C371" t="s">
        <v>136</v>
      </c>
      <c r="D371">
        <v>101361965</v>
      </c>
      <c r="E371" t="s">
        <v>1682</v>
      </c>
      <c r="F371" s="2" t="s">
        <v>1683</v>
      </c>
      <c r="G371" t="s">
        <v>1684</v>
      </c>
    </row>
    <row r="372" spans="1:7" ht="15" customHeight="1" x14ac:dyDescent="0.3">
      <c r="A372" t="s">
        <v>95</v>
      </c>
      <c r="B372">
        <v>7487916</v>
      </c>
      <c r="C372" t="s">
        <v>138</v>
      </c>
      <c r="D372">
        <v>101361960</v>
      </c>
      <c r="E372" t="s">
        <v>1682</v>
      </c>
      <c r="F372" s="2" t="s">
        <v>1683</v>
      </c>
      <c r="G372" t="s">
        <v>1684</v>
      </c>
    </row>
    <row r="373" spans="1:7" ht="15" customHeight="1" x14ac:dyDescent="0.3">
      <c r="A373" t="s">
        <v>95</v>
      </c>
      <c r="B373">
        <v>7487916</v>
      </c>
      <c r="C373" t="s">
        <v>140</v>
      </c>
      <c r="D373">
        <v>101361958</v>
      </c>
      <c r="E373" t="s">
        <v>1682</v>
      </c>
      <c r="F373" s="2" t="s">
        <v>1683</v>
      </c>
      <c r="G373" t="s">
        <v>1684</v>
      </c>
    </row>
    <row r="374" spans="1:7" ht="15" customHeight="1" x14ac:dyDescent="0.3">
      <c r="A374" t="s">
        <v>95</v>
      </c>
      <c r="B374">
        <v>7487916</v>
      </c>
      <c r="C374" t="s">
        <v>142</v>
      </c>
      <c r="D374">
        <v>101361959</v>
      </c>
      <c r="E374" t="s">
        <v>1682</v>
      </c>
      <c r="F374" s="2" t="s">
        <v>1683</v>
      </c>
      <c r="G374" t="s">
        <v>1684</v>
      </c>
    </row>
    <row r="375" spans="1:7" ht="15" customHeight="1" x14ac:dyDescent="0.3">
      <c r="A375" t="s">
        <v>95</v>
      </c>
      <c r="B375">
        <v>7487916</v>
      </c>
      <c r="C375" t="s">
        <v>144</v>
      </c>
      <c r="D375">
        <v>101361954</v>
      </c>
      <c r="E375" t="s">
        <v>1682</v>
      </c>
      <c r="F375" s="2" t="s">
        <v>1683</v>
      </c>
      <c r="G375" t="s">
        <v>1684</v>
      </c>
    </row>
    <row r="376" spans="1:7" ht="15" customHeight="1" x14ac:dyDescent="0.3">
      <c r="A376" t="s">
        <v>95</v>
      </c>
      <c r="B376">
        <v>7487916</v>
      </c>
      <c r="C376" t="s">
        <v>146</v>
      </c>
      <c r="D376">
        <v>101361946</v>
      </c>
      <c r="E376" t="s">
        <v>1682</v>
      </c>
      <c r="F376" s="2" t="s">
        <v>1683</v>
      </c>
      <c r="G376" t="s">
        <v>1684</v>
      </c>
    </row>
    <row r="377" spans="1:7" ht="15" customHeight="1" x14ac:dyDescent="0.3">
      <c r="A377" t="s">
        <v>95</v>
      </c>
      <c r="B377">
        <v>7487916</v>
      </c>
      <c r="C377" t="s">
        <v>148</v>
      </c>
      <c r="D377">
        <v>101361947</v>
      </c>
      <c r="E377" t="s">
        <v>1682</v>
      </c>
      <c r="F377" s="2" t="s">
        <v>1683</v>
      </c>
      <c r="G377" t="s">
        <v>1684</v>
      </c>
    </row>
    <row r="378" spans="1:7" ht="15" customHeight="1" x14ac:dyDescent="0.3">
      <c r="A378" t="s">
        <v>95</v>
      </c>
      <c r="B378">
        <v>7487916</v>
      </c>
      <c r="C378" t="s">
        <v>150</v>
      </c>
      <c r="D378">
        <v>101361953</v>
      </c>
      <c r="E378" t="s">
        <v>1682</v>
      </c>
      <c r="F378" s="2" t="s">
        <v>1683</v>
      </c>
      <c r="G378" t="s">
        <v>1684</v>
      </c>
    </row>
    <row r="379" spans="1:7" ht="15" customHeight="1" x14ac:dyDescent="0.3">
      <c r="A379" t="s">
        <v>95</v>
      </c>
      <c r="B379">
        <v>7487916</v>
      </c>
      <c r="C379" t="s">
        <v>152</v>
      </c>
      <c r="D379">
        <v>101361961</v>
      </c>
      <c r="E379" t="s">
        <v>1682</v>
      </c>
      <c r="F379" s="2" t="s">
        <v>1683</v>
      </c>
      <c r="G379" t="s">
        <v>1684</v>
      </c>
    </row>
    <row r="380" spans="1:7" ht="15" customHeight="1" x14ac:dyDescent="0.3">
      <c r="A380" t="s">
        <v>95</v>
      </c>
      <c r="B380">
        <v>7487916</v>
      </c>
      <c r="C380" t="s">
        <v>154</v>
      </c>
      <c r="D380">
        <v>101361943</v>
      </c>
      <c r="E380" t="s">
        <v>1682</v>
      </c>
      <c r="F380" s="2" t="s">
        <v>1683</v>
      </c>
      <c r="G380" t="s">
        <v>1684</v>
      </c>
    </row>
    <row r="381" spans="1:7" ht="15" customHeight="1" x14ac:dyDescent="0.3">
      <c r="A381" t="s">
        <v>95</v>
      </c>
      <c r="B381">
        <v>7487916</v>
      </c>
      <c r="C381" t="s">
        <v>156</v>
      </c>
      <c r="D381">
        <v>101361964</v>
      </c>
      <c r="E381" t="s">
        <v>1682</v>
      </c>
      <c r="F381" s="2" t="s">
        <v>1683</v>
      </c>
      <c r="G381" t="s">
        <v>1684</v>
      </c>
    </row>
    <row r="382" spans="1:7" ht="15" customHeight="1" x14ac:dyDescent="0.3">
      <c r="A382" t="s">
        <v>95</v>
      </c>
      <c r="B382">
        <v>7487916</v>
      </c>
      <c r="C382" t="s">
        <v>158</v>
      </c>
      <c r="D382">
        <v>101300180</v>
      </c>
      <c r="E382" t="s">
        <v>1682</v>
      </c>
      <c r="F382" s="2" t="s">
        <v>1683</v>
      </c>
      <c r="G382" t="s">
        <v>1684</v>
      </c>
    </row>
    <row r="383" spans="1:7" ht="15" customHeight="1" x14ac:dyDescent="0.3">
      <c r="A383" t="e">
        <v>#N/A</v>
      </c>
      <c r="B383" t="e">
        <v>#N/A</v>
      </c>
      <c r="C383" t="s">
        <v>1685</v>
      </c>
      <c r="D383" t="e">
        <v>#N/A</v>
      </c>
      <c r="E383" t="s">
        <v>1682</v>
      </c>
      <c r="F383" s="2" t="s">
        <v>1683</v>
      </c>
      <c r="G383" t="s">
        <v>1684</v>
      </c>
    </row>
    <row r="384" spans="1:7" ht="15" customHeight="1" x14ac:dyDescent="0.3">
      <c r="A384" t="s">
        <v>95</v>
      </c>
      <c r="B384">
        <v>7487916</v>
      </c>
      <c r="C384" t="s">
        <v>159</v>
      </c>
      <c r="D384">
        <v>101361948</v>
      </c>
      <c r="E384" t="s">
        <v>1682</v>
      </c>
      <c r="F384" s="2" t="s">
        <v>1683</v>
      </c>
      <c r="G384" t="s">
        <v>1684</v>
      </c>
    </row>
    <row r="385" spans="1:7" ht="15" customHeight="1" x14ac:dyDescent="0.3">
      <c r="A385" t="s">
        <v>95</v>
      </c>
      <c r="B385">
        <v>7487916</v>
      </c>
      <c r="C385" t="s">
        <v>161</v>
      </c>
      <c r="D385">
        <v>101361956</v>
      </c>
      <c r="E385" t="s">
        <v>1682</v>
      </c>
      <c r="F385" s="2" t="s">
        <v>1683</v>
      </c>
      <c r="G385" t="s">
        <v>1684</v>
      </c>
    </row>
    <row r="386" spans="1:7" ht="15" customHeight="1" x14ac:dyDescent="0.3">
      <c r="A386" t="s">
        <v>95</v>
      </c>
      <c r="B386">
        <v>7487916</v>
      </c>
      <c r="C386" t="s">
        <v>163</v>
      </c>
      <c r="D386">
        <v>101361950</v>
      </c>
      <c r="E386" t="s">
        <v>1682</v>
      </c>
      <c r="F386" s="2" t="s">
        <v>1683</v>
      </c>
      <c r="G386" t="s">
        <v>1684</v>
      </c>
    </row>
    <row r="387" spans="1:7" ht="15" customHeight="1" x14ac:dyDescent="0.3">
      <c r="A387" t="s">
        <v>95</v>
      </c>
      <c r="B387">
        <v>7487916</v>
      </c>
      <c r="C387" t="s">
        <v>165</v>
      </c>
      <c r="D387">
        <v>101361963</v>
      </c>
      <c r="E387" t="s">
        <v>1682</v>
      </c>
      <c r="F387" s="2" t="s">
        <v>1683</v>
      </c>
      <c r="G387" t="s">
        <v>1684</v>
      </c>
    </row>
    <row r="388" spans="1:7" ht="15" customHeight="1" x14ac:dyDescent="0.3">
      <c r="A388" t="s">
        <v>95</v>
      </c>
      <c r="B388">
        <v>7487916</v>
      </c>
      <c r="C388" t="s">
        <v>167</v>
      </c>
      <c r="D388">
        <v>101361949</v>
      </c>
      <c r="E388" t="s">
        <v>1682</v>
      </c>
      <c r="F388" s="2" t="s">
        <v>1683</v>
      </c>
      <c r="G388" t="s">
        <v>1684</v>
      </c>
    </row>
    <row r="389" spans="1:7" ht="15" customHeight="1" x14ac:dyDescent="0.3">
      <c r="A389" t="s">
        <v>170</v>
      </c>
      <c r="B389">
        <v>7498595</v>
      </c>
      <c r="C389" t="s">
        <v>169</v>
      </c>
      <c r="D389">
        <v>101362236</v>
      </c>
      <c r="E389" t="s">
        <v>1682</v>
      </c>
      <c r="F389" s="2" t="s">
        <v>1683</v>
      </c>
      <c r="G389" t="s">
        <v>1684</v>
      </c>
    </row>
    <row r="390" spans="1:7" ht="15" customHeight="1" x14ac:dyDescent="0.3">
      <c r="A390" t="s">
        <v>170</v>
      </c>
      <c r="B390">
        <v>7498595</v>
      </c>
      <c r="C390" t="s">
        <v>172</v>
      </c>
      <c r="D390">
        <v>101362235</v>
      </c>
      <c r="E390" t="s">
        <v>1682</v>
      </c>
      <c r="F390" s="2" t="s">
        <v>1683</v>
      </c>
      <c r="G390" t="s">
        <v>1684</v>
      </c>
    </row>
    <row r="391" spans="1:7" ht="15" customHeight="1" x14ac:dyDescent="0.3">
      <c r="A391" t="s">
        <v>175</v>
      </c>
      <c r="B391">
        <v>7498596</v>
      </c>
      <c r="C391" t="s">
        <v>174</v>
      </c>
      <c r="D391">
        <v>101362242</v>
      </c>
      <c r="E391" t="s">
        <v>1682</v>
      </c>
      <c r="F391" s="2" t="s">
        <v>1683</v>
      </c>
      <c r="G391" t="s">
        <v>1684</v>
      </c>
    </row>
    <row r="392" spans="1:7" ht="15" customHeight="1" x14ac:dyDescent="0.3">
      <c r="A392" t="s">
        <v>175</v>
      </c>
      <c r="B392">
        <v>7498596</v>
      </c>
      <c r="C392" t="s">
        <v>177</v>
      </c>
      <c r="D392">
        <v>101362240</v>
      </c>
      <c r="E392" t="s">
        <v>1682</v>
      </c>
      <c r="F392" s="2" t="s">
        <v>1683</v>
      </c>
      <c r="G392" t="s">
        <v>1684</v>
      </c>
    </row>
    <row r="393" spans="1:7" ht="15" customHeight="1" x14ac:dyDescent="0.3">
      <c r="A393" t="s">
        <v>175</v>
      </c>
      <c r="B393">
        <v>7498596</v>
      </c>
      <c r="C393" t="s">
        <v>179</v>
      </c>
      <c r="D393">
        <v>101362238</v>
      </c>
      <c r="E393" t="s">
        <v>1682</v>
      </c>
      <c r="F393" s="2" t="s">
        <v>1683</v>
      </c>
      <c r="G393" t="s">
        <v>1684</v>
      </c>
    </row>
    <row r="394" spans="1:7" ht="15" customHeight="1" x14ac:dyDescent="0.3">
      <c r="A394" t="s">
        <v>175</v>
      </c>
      <c r="B394">
        <v>7498596</v>
      </c>
      <c r="C394" t="s">
        <v>181</v>
      </c>
      <c r="D394">
        <v>101362239</v>
      </c>
      <c r="E394" t="s">
        <v>1682</v>
      </c>
      <c r="F394" s="2" t="s">
        <v>1683</v>
      </c>
      <c r="G394" t="s">
        <v>1684</v>
      </c>
    </row>
    <row r="395" spans="1:7" ht="15" customHeight="1" x14ac:dyDescent="0.3">
      <c r="A395" t="s">
        <v>175</v>
      </c>
      <c r="B395">
        <v>7498596</v>
      </c>
      <c r="C395" t="s">
        <v>183</v>
      </c>
      <c r="D395">
        <v>101362237</v>
      </c>
      <c r="E395" t="s">
        <v>1682</v>
      </c>
      <c r="F395" s="2" t="s">
        <v>1683</v>
      </c>
      <c r="G395" t="s">
        <v>1684</v>
      </c>
    </row>
    <row r="396" spans="1:7" ht="15" customHeight="1" x14ac:dyDescent="0.3">
      <c r="A396" t="s">
        <v>186</v>
      </c>
      <c r="B396">
        <v>7499092</v>
      </c>
      <c r="C396" t="s">
        <v>185</v>
      </c>
      <c r="D396">
        <v>101363854</v>
      </c>
      <c r="E396" t="s">
        <v>1682</v>
      </c>
      <c r="F396" s="2" t="s">
        <v>1683</v>
      </c>
      <c r="G396" t="s">
        <v>1684</v>
      </c>
    </row>
    <row r="397" spans="1:7" ht="15" customHeight="1" x14ac:dyDescent="0.3">
      <c r="A397" t="s">
        <v>186</v>
      </c>
      <c r="B397">
        <v>7499092</v>
      </c>
      <c r="C397" t="s">
        <v>189</v>
      </c>
      <c r="D397">
        <v>101363855</v>
      </c>
      <c r="E397" t="s">
        <v>1682</v>
      </c>
      <c r="F397" s="2" t="s">
        <v>1683</v>
      </c>
      <c r="G397" t="s">
        <v>1684</v>
      </c>
    </row>
    <row r="398" spans="1:7" ht="15" customHeight="1" x14ac:dyDescent="0.3">
      <c r="A398" t="s">
        <v>193</v>
      </c>
      <c r="B398">
        <v>7498602</v>
      </c>
      <c r="C398" t="s">
        <v>192</v>
      </c>
      <c r="D398">
        <v>101361978</v>
      </c>
      <c r="E398" t="s">
        <v>1682</v>
      </c>
      <c r="F398" s="2" t="s">
        <v>1683</v>
      </c>
      <c r="G398" t="s">
        <v>1684</v>
      </c>
    </row>
    <row r="399" spans="1:7" ht="15" customHeight="1" x14ac:dyDescent="0.3">
      <c r="A399" t="s">
        <v>197</v>
      </c>
      <c r="B399">
        <v>7498606</v>
      </c>
      <c r="C399" t="s">
        <v>196</v>
      </c>
      <c r="D399">
        <v>101361979</v>
      </c>
      <c r="E399" t="s">
        <v>1682</v>
      </c>
      <c r="F399" s="2" t="s">
        <v>1683</v>
      </c>
      <c r="G399" t="s">
        <v>1684</v>
      </c>
    </row>
    <row r="400" spans="1:7" ht="15" customHeight="1" x14ac:dyDescent="0.3">
      <c r="A400" t="s">
        <v>197</v>
      </c>
      <c r="B400">
        <v>7498606</v>
      </c>
      <c r="C400" t="s">
        <v>200</v>
      </c>
      <c r="D400">
        <v>101361980</v>
      </c>
      <c r="E400" t="s">
        <v>1682</v>
      </c>
      <c r="F400" s="2" t="s">
        <v>1683</v>
      </c>
      <c r="G400" t="s">
        <v>1684</v>
      </c>
    </row>
    <row r="401" spans="1:7" ht="15" customHeight="1" x14ac:dyDescent="0.3">
      <c r="A401" t="s">
        <v>197</v>
      </c>
      <c r="B401">
        <v>7498606</v>
      </c>
      <c r="C401" t="s">
        <v>202</v>
      </c>
      <c r="D401">
        <v>101361981</v>
      </c>
      <c r="E401" t="s">
        <v>1682</v>
      </c>
      <c r="F401" s="2" t="s">
        <v>1683</v>
      </c>
      <c r="G401" t="s">
        <v>1684</v>
      </c>
    </row>
    <row r="402" spans="1:7" ht="15" customHeight="1" x14ac:dyDescent="0.3">
      <c r="A402" t="s">
        <v>205</v>
      </c>
      <c r="B402">
        <v>7498607</v>
      </c>
      <c r="C402" t="s">
        <v>204</v>
      </c>
      <c r="D402">
        <v>101361976</v>
      </c>
      <c r="E402" t="s">
        <v>1682</v>
      </c>
      <c r="F402" s="2" t="s">
        <v>1683</v>
      </c>
      <c r="G402" t="s">
        <v>1684</v>
      </c>
    </row>
    <row r="403" spans="1:7" ht="15" customHeight="1" x14ac:dyDescent="0.3">
      <c r="A403" t="s">
        <v>205</v>
      </c>
      <c r="B403">
        <v>7498607</v>
      </c>
      <c r="C403" t="s">
        <v>208</v>
      </c>
      <c r="D403">
        <v>101361973</v>
      </c>
      <c r="E403" t="s">
        <v>1682</v>
      </c>
      <c r="F403" s="2" t="s">
        <v>1683</v>
      </c>
      <c r="G403" t="s">
        <v>1684</v>
      </c>
    </row>
    <row r="404" spans="1:7" ht="15" customHeight="1" x14ac:dyDescent="0.3">
      <c r="A404" t="s">
        <v>205</v>
      </c>
      <c r="B404">
        <v>7498607</v>
      </c>
      <c r="C404" t="s">
        <v>210</v>
      </c>
      <c r="D404">
        <v>101361975</v>
      </c>
      <c r="E404" t="s">
        <v>1682</v>
      </c>
      <c r="F404" s="2" t="s">
        <v>1683</v>
      </c>
      <c r="G404" t="s">
        <v>1684</v>
      </c>
    </row>
    <row r="405" spans="1:7" ht="15" customHeight="1" x14ac:dyDescent="0.3">
      <c r="A405" t="s">
        <v>205</v>
      </c>
      <c r="B405">
        <v>7498607</v>
      </c>
      <c r="C405" t="s">
        <v>212</v>
      </c>
      <c r="D405">
        <v>101361974</v>
      </c>
      <c r="E405" t="s">
        <v>1682</v>
      </c>
      <c r="F405" s="2" t="s">
        <v>1683</v>
      </c>
      <c r="G405" t="s">
        <v>1684</v>
      </c>
    </row>
    <row r="406" spans="1:7" ht="15" customHeight="1" x14ac:dyDescent="0.3">
      <c r="A406" t="s">
        <v>215</v>
      </c>
      <c r="B406">
        <v>7498610</v>
      </c>
      <c r="C406" t="s">
        <v>214</v>
      </c>
      <c r="D406">
        <v>101362268</v>
      </c>
      <c r="E406" t="s">
        <v>1682</v>
      </c>
      <c r="F406" s="2" t="s">
        <v>1683</v>
      </c>
      <c r="G406" t="s">
        <v>1684</v>
      </c>
    </row>
    <row r="407" spans="1:7" ht="15" customHeight="1" x14ac:dyDescent="0.3">
      <c r="A407" t="s">
        <v>215</v>
      </c>
      <c r="B407">
        <v>7498610</v>
      </c>
      <c r="C407" t="s">
        <v>217</v>
      </c>
      <c r="D407">
        <v>101362256</v>
      </c>
      <c r="E407" t="s">
        <v>1682</v>
      </c>
      <c r="F407" s="2" t="s">
        <v>1683</v>
      </c>
      <c r="G407" t="s">
        <v>1684</v>
      </c>
    </row>
    <row r="408" spans="1:7" ht="15" customHeight="1" x14ac:dyDescent="0.3">
      <c r="A408" t="s">
        <v>215</v>
      </c>
      <c r="B408">
        <v>7498610</v>
      </c>
      <c r="C408" t="s">
        <v>219</v>
      </c>
      <c r="D408">
        <v>101362255</v>
      </c>
      <c r="E408" t="s">
        <v>1682</v>
      </c>
      <c r="F408" s="2" t="s">
        <v>1683</v>
      </c>
      <c r="G408" t="s">
        <v>1684</v>
      </c>
    </row>
    <row r="409" spans="1:7" ht="15" customHeight="1" x14ac:dyDescent="0.3">
      <c r="A409" t="s">
        <v>222</v>
      </c>
      <c r="B409">
        <v>520170</v>
      </c>
      <c r="C409" t="s">
        <v>221</v>
      </c>
      <c r="D409">
        <v>101361968</v>
      </c>
      <c r="E409" t="s">
        <v>1682</v>
      </c>
      <c r="F409" s="2" t="s">
        <v>1683</v>
      </c>
      <c r="G409" t="s">
        <v>1684</v>
      </c>
    </row>
    <row r="410" spans="1:7" ht="15" customHeight="1" x14ac:dyDescent="0.3">
      <c r="A410" t="s">
        <v>222</v>
      </c>
      <c r="B410">
        <v>520170</v>
      </c>
      <c r="C410" t="s">
        <v>225</v>
      </c>
      <c r="D410">
        <v>100908800</v>
      </c>
      <c r="E410" t="s">
        <v>1682</v>
      </c>
      <c r="F410" s="2" t="s">
        <v>1683</v>
      </c>
      <c r="G410" t="s">
        <v>1684</v>
      </c>
    </row>
    <row r="411" spans="1:7" ht="15" customHeight="1" x14ac:dyDescent="0.3">
      <c r="A411" t="s">
        <v>222</v>
      </c>
      <c r="B411">
        <v>520170</v>
      </c>
      <c r="C411" t="s">
        <v>227</v>
      </c>
      <c r="D411">
        <v>100908796</v>
      </c>
      <c r="E411" t="s">
        <v>1682</v>
      </c>
      <c r="F411" s="2" t="s">
        <v>1683</v>
      </c>
      <c r="G411" t="s">
        <v>1684</v>
      </c>
    </row>
    <row r="412" spans="1:7" ht="15" customHeight="1" x14ac:dyDescent="0.3">
      <c r="A412" t="s">
        <v>222</v>
      </c>
      <c r="B412">
        <v>520170</v>
      </c>
      <c r="C412" t="s">
        <v>228</v>
      </c>
      <c r="D412">
        <v>101361967</v>
      </c>
      <c r="E412" t="s">
        <v>1682</v>
      </c>
      <c r="F412" s="2" t="s">
        <v>1683</v>
      </c>
      <c r="G412" t="s">
        <v>1684</v>
      </c>
    </row>
    <row r="413" spans="1:7" ht="15" customHeight="1" x14ac:dyDescent="0.3">
      <c r="A413" t="s">
        <v>222</v>
      </c>
      <c r="B413">
        <v>520170</v>
      </c>
      <c r="C413" t="s">
        <v>230</v>
      </c>
      <c r="D413">
        <v>100908797</v>
      </c>
      <c r="E413" t="s">
        <v>1682</v>
      </c>
      <c r="F413" s="2" t="s">
        <v>1683</v>
      </c>
      <c r="G413" t="s">
        <v>1684</v>
      </c>
    </row>
    <row r="414" spans="1:7" ht="15" customHeight="1" x14ac:dyDescent="0.3">
      <c r="A414" t="s">
        <v>222</v>
      </c>
      <c r="B414">
        <v>520170</v>
      </c>
      <c r="C414" t="s">
        <v>231</v>
      </c>
      <c r="D414">
        <v>101361966</v>
      </c>
      <c r="E414" t="s">
        <v>1682</v>
      </c>
      <c r="F414" s="2" t="s">
        <v>1683</v>
      </c>
      <c r="G414" t="s">
        <v>1684</v>
      </c>
    </row>
    <row r="415" spans="1:7" ht="15" customHeight="1" x14ac:dyDescent="0.3">
      <c r="A415" t="s">
        <v>222</v>
      </c>
      <c r="B415">
        <v>520170</v>
      </c>
      <c r="C415" t="s">
        <v>233</v>
      </c>
      <c r="D415">
        <v>100908795</v>
      </c>
      <c r="E415" t="s">
        <v>1682</v>
      </c>
      <c r="F415" s="2" t="s">
        <v>1683</v>
      </c>
      <c r="G415" t="s">
        <v>1684</v>
      </c>
    </row>
    <row r="416" spans="1:7" ht="15" customHeight="1" x14ac:dyDescent="0.3">
      <c r="A416" t="s">
        <v>222</v>
      </c>
      <c r="B416">
        <v>520170</v>
      </c>
      <c r="C416" t="s">
        <v>234</v>
      </c>
      <c r="D416">
        <v>100908798</v>
      </c>
      <c r="E416" t="s">
        <v>1682</v>
      </c>
      <c r="F416" s="2" t="s">
        <v>1683</v>
      </c>
      <c r="G416" t="s">
        <v>1684</v>
      </c>
    </row>
    <row r="417" spans="1:7" ht="15" customHeight="1" x14ac:dyDescent="0.3">
      <c r="A417" t="s">
        <v>222</v>
      </c>
      <c r="B417">
        <v>520170</v>
      </c>
      <c r="C417" t="s">
        <v>236</v>
      </c>
      <c r="D417">
        <v>100908801</v>
      </c>
      <c r="E417" t="s">
        <v>1682</v>
      </c>
      <c r="F417" s="2" t="s">
        <v>1683</v>
      </c>
      <c r="G417" t="s">
        <v>1684</v>
      </c>
    </row>
    <row r="418" spans="1:7" ht="15" customHeight="1" x14ac:dyDescent="0.3">
      <c r="A418" t="s">
        <v>222</v>
      </c>
      <c r="B418">
        <v>520170</v>
      </c>
      <c r="C418" t="s">
        <v>238</v>
      </c>
      <c r="D418">
        <v>100908799</v>
      </c>
      <c r="E418" t="s">
        <v>1682</v>
      </c>
      <c r="F418" s="2" t="s">
        <v>1683</v>
      </c>
      <c r="G418" t="s">
        <v>1684</v>
      </c>
    </row>
    <row r="419" spans="1:7" ht="15" customHeight="1" x14ac:dyDescent="0.3">
      <c r="A419" t="s">
        <v>241</v>
      </c>
      <c r="B419">
        <v>7498612</v>
      </c>
      <c r="C419" t="s">
        <v>240</v>
      </c>
      <c r="D419">
        <v>101362254</v>
      </c>
      <c r="E419" t="s">
        <v>1682</v>
      </c>
      <c r="F419" s="2" t="s">
        <v>1683</v>
      </c>
      <c r="G419" t="s">
        <v>1684</v>
      </c>
    </row>
    <row r="420" spans="1:7" ht="15" customHeight="1" x14ac:dyDescent="0.3">
      <c r="A420" t="s">
        <v>241</v>
      </c>
      <c r="B420">
        <v>7498612</v>
      </c>
      <c r="C420" t="s">
        <v>244</v>
      </c>
      <c r="D420">
        <v>101362253</v>
      </c>
      <c r="E420" t="s">
        <v>1682</v>
      </c>
      <c r="F420" s="2" t="s">
        <v>1683</v>
      </c>
      <c r="G420" t="s">
        <v>1684</v>
      </c>
    </row>
    <row r="421" spans="1:7" ht="15" customHeight="1" x14ac:dyDescent="0.3">
      <c r="A421" t="s">
        <v>247</v>
      </c>
      <c r="B421">
        <v>7498613</v>
      </c>
      <c r="C421" t="s">
        <v>246</v>
      </c>
      <c r="D421">
        <v>101361984</v>
      </c>
      <c r="E421" t="s">
        <v>1682</v>
      </c>
      <c r="F421" s="2" t="s">
        <v>1683</v>
      </c>
      <c r="G421" t="s">
        <v>1684</v>
      </c>
    </row>
    <row r="422" spans="1:7" ht="15" customHeight="1" x14ac:dyDescent="0.3">
      <c r="A422" t="s">
        <v>247</v>
      </c>
      <c r="B422">
        <v>7498613</v>
      </c>
      <c r="C422" t="s">
        <v>250</v>
      </c>
      <c r="D422">
        <v>101361982</v>
      </c>
      <c r="E422" t="s">
        <v>1682</v>
      </c>
      <c r="F422" s="2" t="s">
        <v>1683</v>
      </c>
      <c r="G422" t="s">
        <v>1684</v>
      </c>
    </row>
    <row r="423" spans="1:7" ht="15" customHeight="1" x14ac:dyDescent="0.3">
      <c r="A423" t="s">
        <v>247</v>
      </c>
      <c r="B423">
        <v>7498613</v>
      </c>
      <c r="C423" t="s">
        <v>252</v>
      </c>
      <c r="D423">
        <v>101361983</v>
      </c>
      <c r="E423" t="s">
        <v>1682</v>
      </c>
      <c r="F423" s="2" t="s">
        <v>1683</v>
      </c>
      <c r="G423" t="s">
        <v>1684</v>
      </c>
    </row>
    <row r="424" spans="1:7" ht="15" customHeight="1" x14ac:dyDescent="0.3">
      <c r="A424" t="s">
        <v>255</v>
      </c>
      <c r="B424">
        <v>7483035</v>
      </c>
      <c r="C424" t="s">
        <v>254</v>
      </c>
      <c r="D424">
        <v>101276638</v>
      </c>
      <c r="E424" t="s">
        <v>1682</v>
      </c>
      <c r="F424" s="2" t="s">
        <v>1683</v>
      </c>
      <c r="G424" t="s">
        <v>1684</v>
      </c>
    </row>
    <row r="425" spans="1:7" ht="15" customHeight="1" x14ac:dyDescent="0.3">
      <c r="A425" t="s">
        <v>255</v>
      </c>
      <c r="B425">
        <v>7483035</v>
      </c>
      <c r="C425" t="s">
        <v>258</v>
      </c>
      <c r="D425">
        <v>101362233</v>
      </c>
      <c r="E425" t="s">
        <v>1682</v>
      </c>
      <c r="F425" s="2" t="s">
        <v>1683</v>
      </c>
      <c r="G425" t="s">
        <v>1684</v>
      </c>
    </row>
    <row r="426" spans="1:7" ht="15" customHeight="1" x14ac:dyDescent="0.3">
      <c r="A426" t="s">
        <v>255</v>
      </c>
      <c r="B426">
        <v>7483035</v>
      </c>
      <c r="C426" t="s">
        <v>260</v>
      </c>
      <c r="D426">
        <v>101362231</v>
      </c>
      <c r="E426" t="s">
        <v>1682</v>
      </c>
      <c r="F426" s="2" t="s">
        <v>1683</v>
      </c>
      <c r="G426" t="s">
        <v>1684</v>
      </c>
    </row>
    <row r="427" spans="1:7" ht="15" customHeight="1" x14ac:dyDescent="0.3">
      <c r="A427" t="s">
        <v>255</v>
      </c>
      <c r="B427">
        <v>7483035</v>
      </c>
      <c r="C427" t="s">
        <v>262</v>
      </c>
      <c r="D427">
        <v>101362232</v>
      </c>
      <c r="E427" t="s">
        <v>1682</v>
      </c>
      <c r="F427" s="2" t="s">
        <v>1683</v>
      </c>
      <c r="G427" t="s">
        <v>1684</v>
      </c>
    </row>
    <row r="428" spans="1:7" ht="15" customHeight="1" x14ac:dyDescent="0.3">
      <c r="A428" t="s">
        <v>255</v>
      </c>
      <c r="B428">
        <v>7483035</v>
      </c>
      <c r="C428" t="s">
        <v>264</v>
      </c>
      <c r="D428">
        <v>101362230</v>
      </c>
      <c r="E428" t="s">
        <v>1682</v>
      </c>
      <c r="F428" s="2" t="s">
        <v>1683</v>
      </c>
      <c r="G428" t="s">
        <v>1684</v>
      </c>
    </row>
    <row r="429" spans="1:7" ht="15" customHeight="1" x14ac:dyDescent="0.3">
      <c r="A429" t="s">
        <v>267</v>
      </c>
      <c r="B429">
        <v>7498617</v>
      </c>
      <c r="C429" t="s">
        <v>266</v>
      </c>
      <c r="D429">
        <v>101362252</v>
      </c>
      <c r="E429" t="s">
        <v>1682</v>
      </c>
      <c r="F429" s="2" t="s">
        <v>1683</v>
      </c>
      <c r="G429" t="s">
        <v>1684</v>
      </c>
    </row>
    <row r="430" spans="1:7" ht="15" customHeight="1" x14ac:dyDescent="0.3">
      <c r="A430" t="s">
        <v>83</v>
      </c>
      <c r="B430">
        <v>7477481</v>
      </c>
      <c r="C430" t="s">
        <v>1686</v>
      </c>
      <c r="D430">
        <v>101252412</v>
      </c>
      <c r="E430" t="s">
        <v>1687</v>
      </c>
      <c r="F430" s="2">
        <v>101122</v>
      </c>
      <c r="G430" t="s">
        <v>1688</v>
      </c>
    </row>
    <row r="431" spans="1:7" ht="15" customHeight="1" x14ac:dyDescent="0.3">
      <c r="A431" t="s">
        <v>83</v>
      </c>
      <c r="B431">
        <v>7477481</v>
      </c>
      <c r="C431" t="s">
        <v>84</v>
      </c>
      <c r="D431">
        <v>101334291</v>
      </c>
      <c r="E431" t="s">
        <v>1687</v>
      </c>
      <c r="F431" s="2">
        <v>101122</v>
      </c>
      <c r="G431" t="s">
        <v>1688</v>
      </c>
    </row>
    <row r="432" spans="1:7" ht="15" customHeight="1" x14ac:dyDescent="0.3">
      <c r="A432" t="s">
        <v>35</v>
      </c>
      <c r="B432">
        <v>532264</v>
      </c>
      <c r="C432" t="s">
        <v>1689</v>
      </c>
      <c r="D432">
        <v>101225859</v>
      </c>
      <c r="E432" t="s">
        <v>1690</v>
      </c>
      <c r="F432" s="2">
        <v>101122</v>
      </c>
      <c r="G432" t="s">
        <v>1691</v>
      </c>
    </row>
    <row r="433" spans="1:7" ht="15" customHeight="1" x14ac:dyDescent="0.3">
      <c r="A433" t="s">
        <v>270</v>
      </c>
      <c r="B433">
        <v>7477482</v>
      </c>
      <c r="C433" t="s">
        <v>273</v>
      </c>
      <c r="D433">
        <v>101280927</v>
      </c>
      <c r="E433" t="s">
        <v>1692</v>
      </c>
      <c r="F433" s="2">
        <v>101122</v>
      </c>
      <c r="G433" t="s">
        <v>1693</v>
      </c>
    </row>
    <row r="434" spans="1:7" ht="15" customHeight="1" x14ac:dyDescent="0.3">
      <c r="A434" t="s">
        <v>270</v>
      </c>
      <c r="B434">
        <v>7477482</v>
      </c>
      <c r="C434" t="s">
        <v>269</v>
      </c>
      <c r="D434">
        <v>101267101</v>
      </c>
      <c r="E434" t="s">
        <v>1694</v>
      </c>
      <c r="F434" s="2">
        <v>101122</v>
      </c>
      <c r="G434" t="s">
        <v>1695</v>
      </c>
    </row>
    <row r="435" spans="1:7" ht="15" customHeight="1" x14ac:dyDescent="0.3">
      <c r="A435" t="s">
        <v>407</v>
      </c>
      <c r="B435">
        <v>7439496</v>
      </c>
      <c r="C435" t="s">
        <v>424</v>
      </c>
      <c r="D435">
        <v>101264894</v>
      </c>
      <c r="E435" t="s">
        <v>1696</v>
      </c>
      <c r="F435" s="2">
        <v>101122</v>
      </c>
      <c r="G435" t="s">
        <v>1697</v>
      </c>
    </row>
    <row r="436" spans="1:7" ht="15" customHeight="1" x14ac:dyDescent="0.3">
      <c r="A436" t="s">
        <v>122</v>
      </c>
      <c r="B436">
        <v>7438426</v>
      </c>
      <c r="C436" t="s">
        <v>318</v>
      </c>
      <c r="D436">
        <v>101359430</v>
      </c>
      <c r="E436" t="s">
        <v>1632</v>
      </c>
      <c r="F436" s="2">
        <v>101322</v>
      </c>
      <c r="G436" t="s">
        <v>1698</v>
      </c>
    </row>
    <row r="437" spans="1:7" ht="15" customHeight="1" x14ac:dyDescent="0.3">
      <c r="A437" t="s">
        <v>933</v>
      </c>
      <c r="B437">
        <v>502003</v>
      </c>
      <c r="C437" t="s">
        <v>970</v>
      </c>
      <c r="D437">
        <v>101321224</v>
      </c>
      <c r="E437" t="s">
        <v>1699</v>
      </c>
      <c r="F437" s="2">
        <v>101322</v>
      </c>
      <c r="G437" t="s">
        <v>1700</v>
      </c>
    </row>
    <row r="438" spans="1:7" ht="15" customHeight="1" x14ac:dyDescent="0.3">
      <c r="A438" t="s">
        <v>278</v>
      </c>
      <c r="B438">
        <v>7463020</v>
      </c>
      <c r="C438" t="s">
        <v>1701</v>
      </c>
      <c r="D438">
        <v>101194649</v>
      </c>
      <c r="E438" t="s">
        <v>1702</v>
      </c>
      <c r="F438" s="2">
        <v>101722</v>
      </c>
      <c r="G438" t="s">
        <v>1703</v>
      </c>
    </row>
    <row r="439" spans="1:7" ht="15" customHeight="1" x14ac:dyDescent="0.3">
      <c r="A439" t="s">
        <v>353</v>
      </c>
      <c r="B439">
        <v>523553</v>
      </c>
      <c r="C439" t="s">
        <v>369</v>
      </c>
      <c r="D439">
        <v>101350383</v>
      </c>
      <c r="E439" t="s">
        <v>1704</v>
      </c>
      <c r="F439" s="2">
        <v>102522</v>
      </c>
      <c r="G439" t="s">
        <v>1705</v>
      </c>
    </row>
    <row r="440" spans="1:7" ht="15" customHeight="1" x14ac:dyDescent="0.3">
      <c r="A440" t="s">
        <v>122</v>
      </c>
      <c r="B440">
        <v>7438426</v>
      </c>
      <c r="C440" t="s">
        <v>1706</v>
      </c>
      <c r="D440">
        <v>101334359</v>
      </c>
      <c r="E440" t="s">
        <v>1707</v>
      </c>
      <c r="F440" s="2">
        <v>102622</v>
      </c>
      <c r="G440" t="s">
        <v>1707</v>
      </c>
    </row>
    <row r="441" spans="1:7" ht="15" customHeight="1" x14ac:dyDescent="0.3">
      <c r="A441" t="s">
        <v>122</v>
      </c>
      <c r="B441">
        <v>7438426</v>
      </c>
      <c r="C441" t="s">
        <v>1708</v>
      </c>
      <c r="D441">
        <v>101203055</v>
      </c>
      <c r="E441" t="s">
        <v>1707</v>
      </c>
      <c r="F441" s="2">
        <v>102622</v>
      </c>
      <c r="G441" t="s">
        <v>1707</v>
      </c>
    </row>
    <row r="442" spans="1:7" ht="15" customHeight="1" x14ac:dyDescent="0.3">
      <c r="A442" t="s">
        <v>122</v>
      </c>
      <c r="B442">
        <v>7438426</v>
      </c>
      <c r="C442" t="s">
        <v>304</v>
      </c>
      <c r="D442">
        <v>101216896</v>
      </c>
      <c r="E442" t="s">
        <v>1707</v>
      </c>
      <c r="F442" s="2">
        <v>102622</v>
      </c>
      <c r="G442" t="s">
        <v>1707</v>
      </c>
    </row>
    <row r="443" spans="1:7" ht="15" customHeight="1" x14ac:dyDescent="0.3">
      <c r="A443" t="s">
        <v>122</v>
      </c>
      <c r="B443">
        <v>7438426</v>
      </c>
      <c r="C443" t="s">
        <v>308</v>
      </c>
      <c r="D443">
        <v>101334295</v>
      </c>
      <c r="E443" t="s">
        <v>1707</v>
      </c>
      <c r="F443" s="2">
        <v>102622</v>
      </c>
      <c r="G443" t="s">
        <v>1707</v>
      </c>
    </row>
    <row r="444" spans="1:7" ht="15" customHeight="1" x14ac:dyDescent="0.3">
      <c r="A444" t="s">
        <v>122</v>
      </c>
      <c r="B444">
        <v>7438426</v>
      </c>
      <c r="C444" t="s">
        <v>318</v>
      </c>
      <c r="D444">
        <v>101359430</v>
      </c>
      <c r="E444" t="s">
        <v>1707</v>
      </c>
      <c r="F444" s="2">
        <v>102622</v>
      </c>
      <c r="G444" t="s">
        <v>1707</v>
      </c>
    </row>
    <row r="445" spans="1:7" ht="15" customHeight="1" x14ac:dyDescent="0.3">
      <c r="A445" t="s">
        <v>122</v>
      </c>
      <c r="B445">
        <v>7438426</v>
      </c>
      <c r="C445" t="s">
        <v>320</v>
      </c>
      <c r="D445">
        <v>101203050</v>
      </c>
      <c r="E445" t="s">
        <v>1707</v>
      </c>
      <c r="F445" s="2">
        <v>102622</v>
      </c>
      <c r="G445" t="s">
        <v>1707</v>
      </c>
    </row>
    <row r="446" spans="1:7" ht="15" customHeight="1" x14ac:dyDescent="0.3">
      <c r="A446" t="s">
        <v>122</v>
      </c>
      <c r="B446">
        <v>7438426</v>
      </c>
      <c r="C446" t="s">
        <v>322</v>
      </c>
      <c r="D446">
        <v>101203052</v>
      </c>
      <c r="E446" t="s">
        <v>1707</v>
      </c>
      <c r="F446" s="2">
        <v>102622</v>
      </c>
      <c r="G446" t="s">
        <v>1707</v>
      </c>
    </row>
    <row r="447" spans="1:7" ht="15" customHeight="1" x14ac:dyDescent="0.3">
      <c r="A447" t="s">
        <v>122</v>
      </c>
      <c r="B447">
        <v>7438426</v>
      </c>
      <c r="C447" t="s">
        <v>330</v>
      </c>
      <c r="D447">
        <v>101334566</v>
      </c>
      <c r="E447" t="s">
        <v>1707</v>
      </c>
      <c r="F447" s="2">
        <v>102622</v>
      </c>
      <c r="G447" t="s">
        <v>1707</v>
      </c>
    </row>
    <row r="448" spans="1:7" ht="15" customHeight="1" x14ac:dyDescent="0.3">
      <c r="A448" t="s">
        <v>122</v>
      </c>
      <c r="B448">
        <v>7438426</v>
      </c>
      <c r="C448" t="s">
        <v>332</v>
      </c>
      <c r="D448">
        <v>101359431</v>
      </c>
      <c r="E448" t="s">
        <v>1707</v>
      </c>
      <c r="F448" s="2">
        <v>102622</v>
      </c>
      <c r="G448" t="s">
        <v>1707</v>
      </c>
    </row>
    <row r="449" spans="1:7" ht="15" customHeight="1" x14ac:dyDescent="0.3">
      <c r="A449" t="s">
        <v>122</v>
      </c>
      <c r="B449">
        <v>7438426</v>
      </c>
      <c r="C449" t="s">
        <v>334</v>
      </c>
      <c r="D449">
        <v>101203053</v>
      </c>
      <c r="E449" t="s">
        <v>1707</v>
      </c>
      <c r="F449" s="2">
        <v>102622</v>
      </c>
      <c r="G449" t="s">
        <v>1707</v>
      </c>
    </row>
    <row r="450" spans="1:7" ht="15" customHeight="1" x14ac:dyDescent="0.3">
      <c r="A450" t="s">
        <v>122</v>
      </c>
      <c r="B450">
        <v>7438426</v>
      </c>
      <c r="C450" t="s">
        <v>340</v>
      </c>
      <c r="D450">
        <v>101359432</v>
      </c>
      <c r="E450" t="s">
        <v>1707</v>
      </c>
      <c r="F450" s="2">
        <v>102622</v>
      </c>
      <c r="G450" t="s">
        <v>1707</v>
      </c>
    </row>
    <row r="451" spans="1:7" ht="15" customHeight="1" x14ac:dyDescent="0.3">
      <c r="A451" t="s">
        <v>345</v>
      </c>
      <c r="B451">
        <v>7500610</v>
      </c>
      <c r="C451" t="s">
        <v>344</v>
      </c>
      <c r="D451">
        <v>101369222</v>
      </c>
      <c r="E451" t="s">
        <v>1709</v>
      </c>
      <c r="F451" s="2">
        <v>102722</v>
      </c>
      <c r="G451" t="s">
        <v>1710</v>
      </c>
    </row>
    <row r="452" spans="1:7" ht="15" customHeight="1" x14ac:dyDescent="0.3">
      <c r="A452" t="s">
        <v>345</v>
      </c>
      <c r="B452">
        <v>7500610</v>
      </c>
      <c r="C452" t="s">
        <v>348</v>
      </c>
      <c r="D452">
        <v>101369223</v>
      </c>
      <c r="E452" t="s">
        <v>1709</v>
      </c>
      <c r="F452" s="2">
        <v>102722</v>
      </c>
      <c r="G452" t="s">
        <v>1710</v>
      </c>
    </row>
    <row r="453" spans="1:7" ht="15" customHeight="1" x14ac:dyDescent="0.3">
      <c r="A453" t="s">
        <v>345</v>
      </c>
      <c r="B453">
        <v>7500610</v>
      </c>
      <c r="C453" t="s">
        <v>350</v>
      </c>
      <c r="D453">
        <v>101369224</v>
      </c>
      <c r="E453" t="s">
        <v>1709</v>
      </c>
      <c r="F453" s="2">
        <v>102722</v>
      </c>
      <c r="G453" t="s">
        <v>1710</v>
      </c>
    </row>
    <row r="454" spans="1:7" ht="15" customHeight="1" x14ac:dyDescent="0.3">
      <c r="A454" t="s">
        <v>353</v>
      </c>
      <c r="B454">
        <v>523553</v>
      </c>
      <c r="C454" t="s">
        <v>352</v>
      </c>
      <c r="D454">
        <v>101334607</v>
      </c>
      <c r="E454" t="s">
        <v>1711</v>
      </c>
      <c r="F454" s="2" t="s">
        <v>1712</v>
      </c>
      <c r="G454" t="s">
        <v>1713</v>
      </c>
    </row>
    <row r="455" spans="1:7" ht="15" customHeight="1" x14ac:dyDescent="0.3">
      <c r="A455" t="s">
        <v>353</v>
      </c>
      <c r="B455">
        <v>523553</v>
      </c>
      <c r="C455" t="s">
        <v>355</v>
      </c>
      <c r="D455">
        <v>101334611</v>
      </c>
      <c r="E455" t="s">
        <v>1711</v>
      </c>
      <c r="F455" s="2" t="s">
        <v>1712</v>
      </c>
      <c r="G455" t="s">
        <v>1713</v>
      </c>
    </row>
    <row r="456" spans="1:7" ht="15" customHeight="1" x14ac:dyDescent="0.3">
      <c r="A456" t="s">
        <v>353</v>
      </c>
      <c r="B456">
        <v>523553</v>
      </c>
      <c r="C456" t="s">
        <v>357</v>
      </c>
      <c r="D456">
        <v>101350380</v>
      </c>
      <c r="E456" t="s">
        <v>1711</v>
      </c>
      <c r="F456" s="2" t="s">
        <v>1712</v>
      </c>
      <c r="G456" t="s">
        <v>1713</v>
      </c>
    </row>
    <row r="457" spans="1:7" ht="15" customHeight="1" x14ac:dyDescent="0.3">
      <c r="A457" t="s">
        <v>353</v>
      </c>
      <c r="B457">
        <v>523553</v>
      </c>
      <c r="C457" t="s">
        <v>359</v>
      </c>
      <c r="D457">
        <v>101334597</v>
      </c>
      <c r="E457" t="s">
        <v>1711</v>
      </c>
      <c r="F457" s="2" t="s">
        <v>1712</v>
      </c>
      <c r="G457" t="s">
        <v>1713</v>
      </c>
    </row>
    <row r="458" spans="1:7" ht="15" customHeight="1" x14ac:dyDescent="0.3">
      <c r="A458" t="s">
        <v>353</v>
      </c>
      <c r="B458">
        <v>523553</v>
      </c>
      <c r="C458" t="s">
        <v>361</v>
      </c>
      <c r="D458">
        <v>101334608</v>
      </c>
      <c r="E458" t="s">
        <v>1711</v>
      </c>
      <c r="F458" s="2" t="s">
        <v>1712</v>
      </c>
      <c r="G458" t="s">
        <v>1713</v>
      </c>
    </row>
    <row r="459" spans="1:7" ht="15" customHeight="1" x14ac:dyDescent="0.3">
      <c r="A459" t="s">
        <v>353</v>
      </c>
      <c r="B459">
        <v>523553</v>
      </c>
      <c r="C459" t="s">
        <v>363</v>
      </c>
      <c r="D459">
        <v>100911426</v>
      </c>
      <c r="E459" t="s">
        <v>1711</v>
      </c>
      <c r="F459" s="2" t="s">
        <v>1712</v>
      </c>
      <c r="G459" t="s">
        <v>1713</v>
      </c>
    </row>
    <row r="460" spans="1:7" ht="15" customHeight="1" x14ac:dyDescent="0.3">
      <c r="A460" t="s">
        <v>353</v>
      </c>
      <c r="B460">
        <v>523553</v>
      </c>
      <c r="C460" t="s">
        <v>365</v>
      </c>
      <c r="D460">
        <v>101334598</v>
      </c>
      <c r="E460" t="s">
        <v>1711</v>
      </c>
      <c r="F460" s="2" t="s">
        <v>1712</v>
      </c>
      <c r="G460" t="s">
        <v>1713</v>
      </c>
    </row>
    <row r="461" spans="1:7" ht="15" customHeight="1" x14ac:dyDescent="0.3">
      <c r="A461" t="s">
        <v>353</v>
      </c>
      <c r="B461">
        <v>523553</v>
      </c>
      <c r="C461" t="s">
        <v>367</v>
      </c>
      <c r="D461">
        <v>101334614</v>
      </c>
      <c r="E461" t="s">
        <v>1711</v>
      </c>
      <c r="F461" s="2" t="s">
        <v>1712</v>
      </c>
      <c r="G461" t="s">
        <v>1713</v>
      </c>
    </row>
    <row r="462" spans="1:7" ht="15" customHeight="1" x14ac:dyDescent="0.3">
      <c r="A462" t="s">
        <v>353</v>
      </c>
      <c r="B462">
        <v>523553</v>
      </c>
      <c r="C462" t="s">
        <v>369</v>
      </c>
      <c r="D462">
        <v>101350383</v>
      </c>
      <c r="E462" t="s">
        <v>1711</v>
      </c>
      <c r="F462" s="2" t="s">
        <v>1712</v>
      </c>
      <c r="G462" t="s">
        <v>1713</v>
      </c>
    </row>
    <row r="463" spans="1:7" ht="15" customHeight="1" x14ac:dyDescent="0.3">
      <c r="A463" t="s">
        <v>353</v>
      </c>
      <c r="B463">
        <v>523553</v>
      </c>
      <c r="C463" t="s">
        <v>370</v>
      </c>
      <c r="D463">
        <v>101301609</v>
      </c>
      <c r="E463" t="s">
        <v>1711</v>
      </c>
      <c r="F463" s="2" t="s">
        <v>1712</v>
      </c>
      <c r="G463" t="s">
        <v>1713</v>
      </c>
    </row>
    <row r="464" spans="1:7" ht="15" customHeight="1" x14ac:dyDescent="0.3">
      <c r="A464" t="s">
        <v>353</v>
      </c>
      <c r="B464">
        <v>523553</v>
      </c>
      <c r="C464" t="s">
        <v>372</v>
      </c>
      <c r="D464">
        <v>101334610</v>
      </c>
      <c r="E464" t="s">
        <v>1711</v>
      </c>
      <c r="F464" s="2" t="s">
        <v>1712</v>
      </c>
      <c r="G464" t="s">
        <v>1713</v>
      </c>
    </row>
    <row r="465" spans="1:7" ht="15" customHeight="1" x14ac:dyDescent="0.3">
      <c r="A465" t="s">
        <v>353</v>
      </c>
      <c r="B465">
        <v>523553</v>
      </c>
      <c r="C465" t="s">
        <v>374</v>
      </c>
      <c r="D465">
        <v>101350381</v>
      </c>
      <c r="E465" t="s">
        <v>1711</v>
      </c>
      <c r="F465" s="2" t="s">
        <v>1712</v>
      </c>
      <c r="G465" t="s">
        <v>1713</v>
      </c>
    </row>
    <row r="466" spans="1:7" ht="15" customHeight="1" x14ac:dyDescent="0.3">
      <c r="A466" t="s">
        <v>353</v>
      </c>
      <c r="B466">
        <v>523553</v>
      </c>
      <c r="C466" t="s">
        <v>376</v>
      </c>
      <c r="D466">
        <v>101334606</v>
      </c>
      <c r="E466" t="s">
        <v>1711</v>
      </c>
      <c r="F466" s="2" t="s">
        <v>1712</v>
      </c>
      <c r="G466" t="s">
        <v>1713</v>
      </c>
    </row>
    <row r="467" spans="1:7" ht="15" customHeight="1" x14ac:dyDescent="0.3">
      <c r="A467" t="s">
        <v>353</v>
      </c>
      <c r="B467">
        <v>523553</v>
      </c>
      <c r="C467" t="s">
        <v>378</v>
      </c>
      <c r="D467">
        <v>101342616</v>
      </c>
      <c r="E467" t="s">
        <v>1711</v>
      </c>
      <c r="F467" s="2" t="s">
        <v>1712</v>
      </c>
      <c r="G467" t="s">
        <v>1713</v>
      </c>
    </row>
    <row r="468" spans="1:7" ht="15" customHeight="1" x14ac:dyDescent="0.3">
      <c r="A468" t="s">
        <v>353</v>
      </c>
      <c r="B468">
        <v>523553</v>
      </c>
      <c r="C468" t="s">
        <v>380</v>
      </c>
      <c r="D468">
        <v>101334616</v>
      </c>
      <c r="E468" t="s">
        <v>1711</v>
      </c>
      <c r="F468" s="2" t="s">
        <v>1712</v>
      </c>
      <c r="G468" t="s">
        <v>1713</v>
      </c>
    </row>
    <row r="469" spans="1:7" ht="15" customHeight="1" x14ac:dyDescent="0.3">
      <c r="A469" t="s">
        <v>353</v>
      </c>
      <c r="B469">
        <v>523553</v>
      </c>
      <c r="C469" t="s">
        <v>382</v>
      </c>
      <c r="D469">
        <v>101334617</v>
      </c>
      <c r="E469" t="s">
        <v>1711</v>
      </c>
      <c r="F469" s="2" t="s">
        <v>1712</v>
      </c>
      <c r="G469" t="s">
        <v>1713</v>
      </c>
    </row>
    <row r="470" spans="1:7" ht="15" customHeight="1" x14ac:dyDescent="0.3">
      <c r="A470" t="s">
        <v>353</v>
      </c>
      <c r="B470">
        <v>523553</v>
      </c>
      <c r="C470" t="s">
        <v>384</v>
      </c>
      <c r="D470">
        <v>101372172</v>
      </c>
      <c r="E470" t="s">
        <v>1711</v>
      </c>
      <c r="F470" s="2" t="s">
        <v>1712</v>
      </c>
      <c r="G470" t="s">
        <v>1713</v>
      </c>
    </row>
    <row r="471" spans="1:7" ht="15" customHeight="1" x14ac:dyDescent="0.3">
      <c r="A471" t="s">
        <v>353</v>
      </c>
      <c r="B471">
        <v>523553</v>
      </c>
      <c r="C471" t="s">
        <v>386</v>
      </c>
      <c r="D471">
        <v>101334595</v>
      </c>
      <c r="E471" t="s">
        <v>1711</v>
      </c>
      <c r="F471" s="2" t="s">
        <v>1712</v>
      </c>
      <c r="G471" t="s">
        <v>1713</v>
      </c>
    </row>
    <row r="472" spans="1:7" ht="15" customHeight="1" x14ac:dyDescent="0.3">
      <c r="A472" t="s">
        <v>353</v>
      </c>
      <c r="B472">
        <v>523553</v>
      </c>
      <c r="C472" t="s">
        <v>388</v>
      </c>
      <c r="D472">
        <v>101334612</v>
      </c>
      <c r="E472" t="s">
        <v>1711</v>
      </c>
      <c r="F472" s="2" t="s">
        <v>1712</v>
      </c>
      <c r="G472" t="s">
        <v>1713</v>
      </c>
    </row>
    <row r="473" spans="1:7" ht="15" customHeight="1" x14ac:dyDescent="0.3">
      <c r="A473" t="s">
        <v>353</v>
      </c>
      <c r="B473">
        <v>523553</v>
      </c>
      <c r="C473" t="s">
        <v>390</v>
      </c>
      <c r="D473">
        <v>101334613</v>
      </c>
      <c r="E473" t="s">
        <v>1711</v>
      </c>
      <c r="F473" s="2" t="s">
        <v>1712</v>
      </c>
      <c r="G473" t="s">
        <v>1713</v>
      </c>
    </row>
    <row r="474" spans="1:7" ht="15" customHeight="1" x14ac:dyDescent="0.3">
      <c r="A474" t="s">
        <v>353</v>
      </c>
      <c r="B474">
        <v>523553</v>
      </c>
      <c r="C474" t="s">
        <v>392</v>
      </c>
      <c r="D474">
        <v>101334596</v>
      </c>
      <c r="E474" t="s">
        <v>1711</v>
      </c>
      <c r="F474" s="2" t="s">
        <v>1712</v>
      </c>
      <c r="G474" t="s">
        <v>1713</v>
      </c>
    </row>
    <row r="475" spans="1:7" ht="15" customHeight="1" x14ac:dyDescent="0.3">
      <c r="A475" t="s">
        <v>353</v>
      </c>
      <c r="B475">
        <v>523553</v>
      </c>
      <c r="C475" t="s">
        <v>394</v>
      </c>
      <c r="D475">
        <v>101350382</v>
      </c>
      <c r="E475" t="s">
        <v>1711</v>
      </c>
      <c r="F475" s="2" t="s">
        <v>1712</v>
      </c>
      <c r="G475" t="s">
        <v>1713</v>
      </c>
    </row>
    <row r="476" spans="1:7" ht="15" customHeight="1" x14ac:dyDescent="0.3">
      <c r="A476" t="s">
        <v>353</v>
      </c>
      <c r="B476">
        <v>523553</v>
      </c>
      <c r="C476" t="s">
        <v>396</v>
      </c>
      <c r="D476">
        <v>101374950</v>
      </c>
      <c r="E476" t="s">
        <v>1711</v>
      </c>
      <c r="F476" s="2" t="s">
        <v>1712</v>
      </c>
      <c r="G476" t="s">
        <v>1713</v>
      </c>
    </row>
    <row r="477" spans="1:7" ht="15" customHeight="1" x14ac:dyDescent="0.3">
      <c r="A477" t="s">
        <v>353</v>
      </c>
      <c r="B477">
        <v>523553</v>
      </c>
      <c r="C477" t="s">
        <v>398</v>
      </c>
      <c r="D477">
        <v>101350375</v>
      </c>
      <c r="E477" t="s">
        <v>1711</v>
      </c>
      <c r="F477" s="2" t="s">
        <v>1712</v>
      </c>
      <c r="G477" t="s">
        <v>1713</v>
      </c>
    </row>
    <row r="478" spans="1:7" ht="15" customHeight="1" x14ac:dyDescent="0.3">
      <c r="A478" t="s">
        <v>353</v>
      </c>
      <c r="B478">
        <v>523553</v>
      </c>
      <c r="C478" t="s">
        <v>400</v>
      </c>
      <c r="D478">
        <v>101334618</v>
      </c>
      <c r="E478" t="s">
        <v>1711</v>
      </c>
      <c r="F478" s="2" t="s">
        <v>1712</v>
      </c>
      <c r="G478" t="s">
        <v>1713</v>
      </c>
    </row>
    <row r="479" spans="1:7" ht="15" customHeight="1" x14ac:dyDescent="0.3">
      <c r="A479" t="s">
        <v>353</v>
      </c>
      <c r="B479">
        <v>523553</v>
      </c>
      <c r="C479" t="s">
        <v>402</v>
      </c>
      <c r="D479">
        <v>101326700</v>
      </c>
      <c r="E479" t="s">
        <v>1711</v>
      </c>
      <c r="F479" s="2" t="s">
        <v>1712</v>
      </c>
      <c r="G479" t="s">
        <v>1713</v>
      </c>
    </row>
    <row r="480" spans="1:7" ht="15" customHeight="1" x14ac:dyDescent="0.3">
      <c r="A480" t="s">
        <v>353</v>
      </c>
      <c r="B480">
        <v>523553</v>
      </c>
      <c r="C480" t="s">
        <v>404</v>
      </c>
      <c r="D480">
        <v>100911425</v>
      </c>
      <c r="E480" t="s">
        <v>1711</v>
      </c>
      <c r="F480" s="2" t="s">
        <v>1712</v>
      </c>
      <c r="G480" t="s">
        <v>1713</v>
      </c>
    </row>
    <row r="481" spans="1:7" ht="15" customHeight="1" x14ac:dyDescent="0.3">
      <c r="A481" t="s">
        <v>407</v>
      </c>
      <c r="B481">
        <v>7439496</v>
      </c>
      <c r="C481" t="s">
        <v>419</v>
      </c>
      <c r="D481">
        <v>101085826</v>
      </c>
      <c r="E481" t="s">
        <v>1694</v>
      </c>
      <c r="F481" s="2" t="s">
        <v>1714</v>
      </c>
      <c r="G481" t="s">
        <v>1715</v>
      </c>
    </row>
    <row r="482" spans="1:7" ht="15" customHeight="1" x14ac:dyDescent="0.3">
      <c r="A482" t="s">
        <v>407</v>
      </c>
      <c r="B482">
        <v>7439496</v>
      </c>
      <c r="C482" t="s">
        <v>432</v>
      </c>
      <c r="D482">
        <v>101266015</v>
      </c>
      <c r="E482" t="s">
        <v>1694</v>
      </c>
      <c r="F482" s="2" t="s">
        <v>1714</v>
      </c>
      <c r="G482" t="s">
        <v>1715</v>
      </c>
    </row>
    <row r="483" spans="1:7" ht="15" customHeight="1" x14ac:dyDescent="0.3">
      <c r="A483" t="s">
        <v>55</v>
      </c>
      <c r="B483">
        <v>7461854</v>
      </c>
      <c r="C483" t="s">
        <v>1716</v>
      </c>
      <c r="D483">
        <v>101252641</v>
      </c>
      <c r="E483" t="s">
        <v>1717</v>
      </c>
      <c r="F483" s="2" t="s">
        <v>1718</v>
      </c>
      <c r="G483" t="s">
        <v>1719</v>
      </c>
    </row>
    <row r="484" spans="1:7" ht="15" customHeight="1" x14ac:dyDescent="0.3">
      <c r="A484" t="s">
        <v>453</v>
      </c>
      <c r="B484">
        <v>7462119</v>
      </c>
      <c r="C484" t="s">
        <v>1720</v>
      </c>
      <c r="D484">
        <v>101022791</v>
      </c>
      <c r="E484" t="s">
        <v>1721</v>
      </c>
      <c r="F484" s="2" t="s">
        <v>1722</v>
      </c>
      <c r="G484" t="s">
        <v>1723</v>
      </c>
    </row>
    <row r="485" spans="1:7" ht="15" customHeight="1" x14ac:dyDescent="0.3">
      <c r="A485" t="s">
        <v>278</v>
      </c>
      <c r="B485">
        <v>7463020</v>
      </c>
      <c r="C485" t="s">
        <v>1701</v>
      </c>
      <c r="D485">
        <v>101194649</v>
      </c>
      <c r="E485" t="s">
        <v>1721</v>
      </c>
      <c r="F485" s="2" t="s">
        <v>1722</v>
      </c>
      <c r="G485" t="s">
        <v>1723</v>
      </c>
    </row>
    <row r="486" spans="1:7" ht="15" customHeight="1" x14ac:dyDescent="0.3">
      <c r="A486" t="s">
        <v>460</v>
      </c>
      <c r="B486">
        <v>508073</v>
      </c>
      <c r="C486" t="s">
        <v>459</v>
      </c>
      <c r="D486">
        <v>101189700</v>
      </c>
      <c r="E486" t="s">
        <v>1724</v>
      </c>
      <c r="F486" s="2" t="s">
        <v>1725</v>
      </c>
      <c r="G486" t="s">
        <v>1726</v>
      </c>
    </row>
    <row r="487" spans="1:7" ht="15" customHeight="1" x14ac:dyDescent="0.3">
      <c r="A487" t="s">
        <v>460</v>
      </c>
      <c r="B487">
        <v>508073</v>
      </c>
      <c r="C487" t="s">
        <v>476</v>
      </c>
      <c r="D487">
        <v>101238163</v>
      </c>
      <c r="E487" t="s">
        <v>1724</v>
      </c>
      <c r="F487" s="2" t="s">
        <v>1725</v>
      </c>
      <c r="G487" t="s">
        <v>1726</v>
      </c>
    </row>
    <row r="488" spans="1:7" ht="15" customHeight="1" x14ac:dyDescent="0.3">
      <c r="A488" t="s">
        <v>460</v>
      </c>
      <c r="B488">
        <v>508073</v>
      </c>
      <c r="C488" t="s">
        <v>489</v>
      </c>
      <c r="D488">
        <v>101189701</v>
      </c>
      <c r="E488" t="s">
        <v>1724</v>
      </c>
      <c r="F488" s="2" t="s">
        <v>1725</v>
      </c>
      <c r="G488" t="s">
        <v>1726</v>
      </c>
    </row>
    <row r="489" spans="1:7" ht="15" customHeight="1" x14ac:dyDescent="0.3">
      <c r="A489" t="s">
        <v>460</v>
      </c>
      <c r="B489">
        <v>508073</v>
      </c>
      <c r="C489" t="s">
        <v>496</v>
      </c>
      <c r="D489">
        <v>101328097</v>
      </c>
      <c r="E489" t="s">
        <v>1724</v>
      </c>
      <c r="F489" s="2" t="s">
        <v>1725</v>
      </c>
      <c r="G489" t="s">
        <v>1726</v>
      </c>
    </row>
    <row r="490" spans="1:7" ht="15" customHeight="1" x14ac:dyDescent="0.3">
      <c r="A490" t="s">
        <v>460</v>
      </c>
      <c r="B490">
        <v>508073</v>
      </c>
      <c r="C490" t="s">
        <v>489</v>
      </c>
      <c r="D490">
        <v>101189701</v>
      </c>
      <c r="E490" t="s">
        <v>1727</v>
      </c>
      <c r="F490" s="2" t="s">
        <v>1728</v>
      </c>
      <c r="G490" t="s">
        <v>1729</v>
      </c>
    </row>
    <row r="491" spans="1:7" ht="15" customHeight="1" x14ac:dyDescent="0.3">
      <c r="A491" t="s">
        <v>122</v>
      </c>
      <c r="B491">
        <v>7438426</v>
      </c>
      <c r="C491" t="s">
        <v>318</v>
      </c>
      <c r="D491">
        <v>101359430</v>
      </c>
      <c r="E491" t="s">
        <v>1730</v>
      </c>
      <c r="F491" s="2" t="s">
        <v>1731</v>
      </c>
      <c r="G491" t="s">
        <v>1732</v>
      </c>
    </row>
    <row r="492" spans="1:7" ht="15" customHeight="1" x14ac:dyDescent="0.3">
      <c r="A492" t="s">
        <v>353</v>
      </c>
      <c r="B492">
        <v>523553</v>
      </c>
      <c r="C492" t="s">
        <v>404</v>
      </c>
      <c r="D492">
        <v>100911425</v>
      </c>
      <c r="E492" t="s">
        <v>1733</v>
      </c>
      <c r="F492" s="2" t="s">
        <v>1734</v>
      </c>
      <c r="G492" t="s">
        <v>1735</v>
      </c>
    </row>
    <row r="493" spans="1:7" ht="15" customHeight="1" x14ac:dyDescent="0.3">
      <c r="A493" t="s">
        <v>122</v>
      </c>
      <c r="B493">
        <v>7438426</v>
      </c>
      <c r="C493" t="s">
        <v>318</v>
      </c>
      <c r="D493">
        <v>101359430</v>
      </c>
      <c r="E493" t="s">
        <v>1736</v>
      </c>
      <c r="F493" s="2" t="s">
        <v>1712</v>
      </c>
      <c r="G493" t="s">
        <v>1737</v>
      </c>
    </row>
    <row r="494" spans="1:7" ht="15" customHeight="1" x14ac:dyDescent="0.3">
      <c r="A494" t="s">
        <v>83</v>
      </c>
      <c r="B494">
        <v>7477481</v>
      </c>
      <c r="C494" t="s">
        <v>1738</v>
      </c>
      <c r="D494">
        <v>101252412</v>
      </c>
      <c r="E494" t="s">
        <v>1739</v>
      </c>
      <c r="F494" s="2">
        <v>110322</v>
      </c>
      <c r="G494" t="s">
        <v>1740</v>
      </c>
    </row>
    <row r="495" spans="1:7" ht="15" customHeight="1" x14ac:dyDescent="0.3">
      <c r="A495" t="s">
        <v>122</v>
      </c>
      <c r="B495">
        <v>7438426</v>
      </c>
      <c r="C495" t="s">
        <v>314</v>
      </c>
      <c r="D495">
        <v>101334359</v>
      </c>
      <c r="E495" t="s">
        <v>1741</v>
      </c>
      <c r="F495" s="2" t="s">
        <v>1714</v>
      </c>
      <c r="G495" t="s">
        <v>1742</v>
      </c>
    </row>
    <row r="496" spans="1:7" ht="15" customHeight="1" x14ac:dyDescent="0.3">
      <c r="A496" t="s">
        <v>122</v>
      </c>
      <c r="B496">
        <v>7438426</v>
      </c>
      <c r="C496" t="s">
        <v>1667</v>
      </c>
      <c r="D496">
        <v>101216896</v>
      </c>
      <c r="E496" t="s">
        <v>1743</v>
      </c>
      <c r="F496" s="2" t="s">
        <v>1714</v>
      </c>
      <c r="G496" t="s">
        <v>1744</v>
      </c>
    </row>
    <row r="497" spans="1:7" ht="15" customHeight="1" x14ac:dyDescent="0.3">
      <c r="A497" t="s">
        <v>122</v>
      </c>
      <c r="B497">
        <v>7438426</v>
      </c>
      <c r="C497" t="s">
        <v>1745</v>
      </c>
      <c r="D497">
        <v>101240707</v>
      </c>
      <c r="E497" t="s">
        <v>1743</v>
      </c>
      <c r="F497" s="2" t="s">
        <v>1714</v>
      </c>
      <c r="G497" t="s">
        <v>1744</v>
      </c>
    </row>
    <row r="498" spans="1:7" ht="15" customHeight="1" x14ac:dyDescent="0.3">
      <c r="A498" t="s">
        <v>122</v>
      </c>
      <c r="B498">
        <v>7438426</v>
      </c>
      <c r="C498" t="s">
        <v>1746</v>
      </c>
      <c r="D498">
        <v>101244649</v>
      </c>
      <c r="E498" t="s">
        <v>1743</v>
      </c>
      <c r="F498" s="2" t="s">
        <v>1714</v>
      </c>
      <c r="G498" t="s">
        <v>1744</v>
      </c>
    </row>
    <row r="499" spans="1:7" ht="15" customHeight="1" x14ac:dyDescent="0.3">
      <c r="A499" t="s">
        <v>122</v>
      </c>
      <c r="B499">
        <v>7438426</v>
      </c>
      <c r="C499" t="s">
        <v>1747</v>
      </c>
      <c r="D499">
        <v>101244645</v>
      </c>
      <c r="E499" t="s">
        <v>1743</v>
      </c>
      <c r="F499" s="2" t="s">
        <v>1714</v>
      </c>
      <c r="G499" t="s">
        <v>1744</v>
      </c>
    </row>
    <row r="500" spans="1:7" ht="15" customHeight="1" x14ac:dyDescent="0.3">
      <c r="A500" t="s">
        <v>122</v>
      </c>
      <c r="B500">
        <v>7438426</v>
      </c>
      <c r="C500" t="s">
        <v>1748</v>
      </c>
      <c r="D500">
        <v>101352955</v>
      </c>
      <c r="E500" t="s">
        <v>1743</v>
      </c>
      <c r="F500" s="2" t="s">
        <v>1714</v>
      </c>
      <c r="G500" t="s">
        <v>1744</v>
      </c>
    </row>
    <row r="501" spans="1:7" ht="15" customHeight="1" x14ac:dyDescent="0.3">
      <c r="A501" t="s">
        <v>122</v>
      </c>
      <c r="B501">
        <v>7438426</v>
      </c>
      <c r="C501" t="s">
        <v>1749</v>
      </c>
      <c r="D501">
        <v>101203052</v>
      </c>
      <c r="E501" t="s">
        <v>1743</v>
      </c>
      <c r="F501" s="2" t="s">
        <v>1714</v>
      </c>
      <c r="G501" t="s">
        <v>1744</v>
      </c>
    </row>
    <row r="502" spans="1:7" ht="15" customHeight="1" x14ac:dyDescent="0.3">
      <c r="A502" t="s">
        <v>122</v>
      </c>
      <c r="B502">
        <v>7438426</v>
      </c>
      <c r="C502" t="s">
        <v>1750</v>
      </c>
      <c r="D502">
        <v>101359430</v>
      </c>
      <c r="E502" t="s">
        <v>1743</v>
      </c>
      <c r="F502" s="2" t="s">
        <v>1714</v>
      </c>
      <c r="G502" t="s">
        <v>1744</v>
      </c>
    </row>
    <row r="503" spans="1:7" ht="15" customHeight="1" x14ac:dyDescent="0.3">
      <c r="A503" t="s">
        <v>122</v>
      </c>
      <c r="B503">
        <v>7438426</v>
      </c>
      <c r="C503" t="s">
        <v>1751</v>
      </c>
      <c r="D503">
        <v>101334566</v>
      </c>
      <c r="E503" t="s">
        <v>1743</v>
      </c>
      <c r="F503" s="2" t="s">
        <v>1714</v>
      </c>
      <c r="G503" t="s">
        <v>1744</v>
      </c>
    </row>
    <row r="504" spans="1:7" ht="15" customHeight="1" x14ac:dyDescent="0.3">
      <c r="A504" t="s">
        <v>122</v>
      </c>
      <c r="B504">
        <v>7438426</v>
      </c>
      <c r="C504" t="s">
        <v>1752</v>
      </c>
      <c r="D504">
        <v>101334295</v>
      </c>
      <c r="E504" t="s">
        <v>1743</v>
      </c>
      <c r="F504" s="2" t="s">
        <v>1714</v>
      </c>
      <c r="G504" t="s">
        <v>1744</v>
      </c>
    </row>
    <row r="505" spans="1:7" ht="15" customHeight="1" x14ac:dyDescent="0.3">
      <c r="A505" t="s">
        <v>122</v>
      </c>
      <c r="B505">
        <v>7438426</v>
      </c>
      <c r="C505" t="s">
        <v>1753</v>
      </c>
      <c r="D505">
        <v>101203050</v>
      </c>
      <c r="E505" t="s">
        <v>1743</v>
      </c>
      <c r="F505" s="2" t="s">
        <v>1714</v>
      </c>
      <c r="G505" t="s">
        <v>1744</v>
      </c>
    </row>
    <row r="506" spans="1:7" ht="15" customHeight="1" x14ac:dyDescent="0.3">
      <c r="A506" t="s">
        <v>122</v>
      </c>
      <c r="B506">
        <v>7438426</v>
      </c>
      <c r="C506" t="s">
        <v>1754</v>
      </c>
      <c r="D506">
        <v>101377144</v>
      </c>
      <c r="E506" t="s">
        <v>1743</v>
      </c>
      <c r="F506" s="2" t="s">
        <v>1714</v>
      </c>
      <c r="G506" t="s">
        <v>1744</v>
      </c>
    </row>
    <row r="507" spans="1:7" ht="15" customHeight="1" x14ac:dyDescent="0.3">
      <c r="A507" t="s">
        <v>122</v>
      </c>
      <c r="B507">
        <v>7438426</v>
      </c>
      <c r="C507" t="s">
        <v>1644</v>
      </c>
      <c r="D507">
        <v>101359431</v>
      </c>
      <c r="E507" t="s">
        <v>1743</v>
      </c>
      <c r="F507" s="2" t="s">
        <v>1714</v>
      </c>
      <c r="G507" t="s">
        <v>1744</v>
      </c>
    </row>
    <row r="508" spans="1:7" ht="15" customHeight="1" x14ac:dyDescent="0.3">
      <c r="A508" t="s">
        <v>499</v>
      </c>
      <c r="B508">
        <v>70050001</v>
      </c>
      <c r="C508" t="s">
        <v>559</v>
      </c>
      <c r="D508">
        <v>101016445</v>
      </c>
      <c r="E508" t="s">
        <v>1755</v>
      </c>
      <c r="F508" s="2" t="s">
        <v>1718</v>
      </c>
      <c r="G508" t="s">
        <v>1756</v>
      </c>
    </row>
    <row r="509" spans="1:7" ht="15" customHeight="1" x14ac:dyDescent="0.3">
      <c r="A509" t="s">
        <v>24</v>
      </c>
      <c r="B509">
        <v>532951</v>
      </c>
      <c r="C509" t="s">
        <v>64</v>
      </c>
      <c r="D509">
        <v>101314850</v>
      </c>
      <c r="E509" t="s">
        <v>1757</v>
      </c>
      <c r="F509" s="2" t="s">
        <v>1728</v>
      </c>
      <c r="G509" t="s">
        <v>1758</v>
      </c>
    </row>
    <row r="510" spans="1:7" ht="15" customHeight="1" x14ac:dyDescent="0.3">
      <c r="A510" t="s">
        <v>97</v>
      </c>
      <c r="B510">
        <v>7463975</v>
      </c>
      <c r="C510" t="s">
        <v>1759</v>
      </c>
      <c r="D510">
        <v>101334629</v>
      </c>
      <c r="E510" t="s">
        <v>1760</v>
      </c>
      <c r="F510" s="2" t="s">
        <v>1761</v>
      </c>
      <c r="G510" t="s">
        <v>1762</v>
      </c>
    </row>
    <row r="511" spans="1:7" ht="15" customHeight="1" x14ac:dyDescent="0.3">
      <c r="A511" t="s">
        <v>35</v>
      </c>
      <c r="B511">
        <v>532264</v>
      </c>
      <c r="C511" t="s">
        <v>1689</v>
      </c>
      <c r="D511">
        <v>101225859</v>
      </c>
      <c r="E511" t="s">
        <v>1763</v>
      </c>
      <c r="F511" s="2" t="s">
        <v>1761</v>
      </c>
      <c r="G511" t="s">
        <v>1764</v>
      </c>
    </row>
    <row r="512" spans="1:7" ht="15" customHeight="1" x14ac:dyDescent="0.3">
      <c r="A512" t="s">
        <v>794</v>
      </c>
      <c r="B512">
        <v>7502568</v>
      </c>
      <c r="C512" t="s">
        <v>793</v>
      </c>
      <c r="D512">
        <v>101377151</v>
      </c>
      <c r="E512" t="s">
        <v>1765</v>
      </c>
      <c r="F512" s="2" t="s">
        <v>1766</v>
      </c>
      <c r="G512" t="s">
        <v>1767</v>
      </c>
    </row>
    <row r="513" spans="1:7" ht="15" customHeight="1" x14ac:dyDescent="0.3">
      <c r="A513" t="s">
        <v>794</v>
      </c>
      <c r="B513">
        <v>7502568</v>
      </c>
      <c r="C513" t="s">
        <v>798</v>
      </c>
      <c r="D513">
        <v>101377147</v>
      </c>
      <c r="E513" t="s">
        <v>1765</v>
      </c>
      <c r="F513" s="2" t="s">
        <v>1766</v>
      </c>
      <c r="G513" t="s">
        <v>1767</v>
      </c>
    </row>
    <row r="514" spans="1:7" ht="15" customHeight="1" x14ac:dyDescent="0.3">
      <c r="A514" t="s">
        <v>794</v>
      </c>
      <c r="B514">
        <v>7502568</v>
      </c>
      <c r="C514" t="s">
        <v>800</v>
      </c>
      <c r="D514">
        <v>101377150</v>
      </c>
      <c r="E514" t="s">
        <v>1765</v>
      </c>
      <c r="F514" s="2" t="s">
        <v>1766</v>
      </c>
      <c r="G514" t="s">
        <v>1767</v>
      </c>
    </row>
    <row r="515" spans="1:7" ht="15" customHeight="1" x14ac:dyDescent="0.3">
      <c r="A515" t="s">
        <v>353</v>
      </c>
      <c r="B515">
        <v>523553</v>
      </c>
      <c r="C515" t="s">
        <v>369</v>
      </c>
      <c r="D515">
        <v>101350383</v>
      </c>
      <c r="E515" t="s">
        <v>1765</v>
      </c>
      <c r="F515" s="2" t="s">
        <v>1766</v>
      </c>
      <c r="G515" t="s">
        <v>1767</v>
      </c>
    </row>
    <row r="516" spans="1:7" ht="15" customHeight="1" x14ac:dyDescent="0.3">
      <c r="A516" t="s">
        <v>353</v>
      </c>
      <c r="B516">
        <v>523553</v>
      </c>
      <c r="C516" t="s">
        <v>384</v>
      </c>
      <c r="D516">
        <v>101372172</v>
      </c>
      <c r="E516" t="s">
        <v>1765</v>
      </c>
      <c r="F516" s="2" t="s">
        <v>1766</v>
      </c>
      <c r="G516" t="s">
        <v>1767</v>
      </c>
    </row>
    <row r="517" spans="1:7" ht="15" customHeight="1" x14ac:dyDescent="0.3">
      <c r="A517" t="s">
        <v>353</v>
      </c>
      <c r="B517">
        <v>523553</v>
      </c>
      <c r="C517" t="s">
        <v>396</v>
      </c>
      <c r="D517">
        <v>101374950</v>
      </c>
      <c r="E517" t="s">
        <v>1765</v>
      </c>
      <c r="F517" s="2" t="s">
        <v>1766</v>
      </c>
      <c r="G517" t="s">
        <v>1767</v>
      </c>
    </row>
    <row r="518" spans="1:7" ht="15" customHeight="1" x14ac:dyDescent="0.3">
      <c r="A518" s="9" t="s">
        <v>345</v>
      </c>
      <c r="B518" s="9">
        <v>7502568</v>
      </c>
      <c r="C518" s="9" t="s">
        <v>804</v>
      </c>
      <c r="D518" s="9">
        <v>101381831</v>
      </c>
      <c r="E518" s="9" t="s">
        <v>1768</v>
      </c>
      <c r="F518" s="11" t="s">
        <v>1769</v>
      </c>
      <c r="G518" s="9" t="s">
        <v>1770</v>
      </c>
    </row>
    <row r="519" spans="1:7" ht="15" customHeight="1" x14ac:dyDescent="0.3">
      <c r="A519" s="9" t="s">
        <v>345</v>
      </c>
      <c r="B519" s="9">
        <v>7500610</v>
      </c>
      <c r="C519" s="9" t="s">
        <v>806</v>
      </c>
      <c r="D519" s="9">
        <v>101381844</v>
      </c>
      <c r="E519" s="9" t="s">
        <v>1768</v>
      </c>
      <c r="F519" s="11" t="s">
        <v>1769</v>
      </c>
      <c r="G519" s="9" t="s">
        <v>1770</v>
      </c>
    </row>
    <row r="520" spans="1:7" ht="15" customHeight="1" x14ac:dyDescent="0.3">
      <c r="A520" s="9" t="s">
        <v>345</v>
      </c>
      <c r="B520" s="9">
        <v>7500610</v>
      </c>
      <c r="C520" s="9" t="s">
        <v>808</v>
      </c>
      <c r="D520" s="9">
        <v>101381821</v>
      </c>
      <c r="E520" s="9" t="s">
        <v>1768</v>
      </c>
      <c r="F520" s="11" t="s">
        <v>1769</v>
      </c>
      <c r="G520" s="9" t="s">
        <v>1770</v>
      </c>
    </row>
    <row r="521" spans="1:7" ht="15" customHeight="1" x14ac:dyDescent="0.3">
      <c r="A521" s="9" t="s">
        <v>345</v>
      </c>
      <c r="B521" s="9">
        <v>7500610</v>
      </c>
      <c r="C521" s="9" t="s">
        <v>810</v>
      </c>
      <c r="D521" s="9">
        <v>101381830</v>
      </c>
      <c r="E521" s="9" t="s">
        <v>1768</v>
      </c>
      <c r="F521" s="11" t="s">
        <v>1769</v>
      </c>
      <c r="G521" s="9" t="s">
        <v>1770</v>
      </c>
    </row>
    <row r="522" spans="1:7" ht="15" customHeight="1" x14ac:dyDescent="0.3">
      <c r="A522" s="9" t="s">
        <v>345</v>
      </c>
      <c r="B522" s="9">
        <v>7500610</v>
      </c>
      <c r="C522" s="9" t="s">
        <v>812</v>
      </c>
      <c r="D522" s="9">
        <v>101381829</v>
      </c>
      <c r="E522" s="9" t="s">
        <v>1768</v>
      </c>
      <c r="F522" s="11" t="s">
        <v>1769</v>
      </c>
      <c r="G522" s="9" t="s">
        <v>1770</v>
      </c>
    </row>
    <row r="523" spans="1:7" ht="15" customHeight="1" x14ac:dyDescent="0.3">
      <c r="A523" s="9" t="s">
        <v>186</v>
      </c>
      <c r="B523" s="9">
        <v>7499092</v>
      </c>
      <c r="C523" s="9" t="s">
        <v>189</v>
      </c>
      <c r="D523" s="9">
        <v>101363855</v>
      </c>
      <c r="E523" s="9" t="s">
        <v>1771</v>
      </c>
      <c r="F523" s="11" t="s">
        <v>1772</v>
      </c>
      <c r="G523" s="9"/>
    </row>
    <row r="524" spans="1:7" ht="15" customHeight="1" x14ac:dyDescent="0.3">
      <c r="A524" s="9" t="s">
        <v>186</v>
      </c>
      <c r="B524" s="9">
        <v>7499092</v>
      </c>
      <c r="C524" s="9" t="s">
        <v>185</v>
      </c>
      <c r="D524" s="9">
        <v>101363854</v>
      </c>
      <c r="E524" s="9" t="s">
        <v>1771</v>
      </c>
      <c r="F524" s="11" t="s">
        <v>1772</v>
      </c>
      <c r="G524" s="9"/>
    </row>
    <row r="525" spans="1:7" ht="15" customHeight="1" x14ac:dyDescent="0.3">
      <c r="A525" s="9" t="s">
        <v>1300</v>
      </c>
      <c r="B525" s="9">
        <v>502003</v>
      </c>
      <c r="C525" s="9" t="s">
        <v>1020</v>
      </c>
      <c r="D525" s="9">
        <v>101211814</v>
      </c>
      <c r="E525" s="9" t="s">
        <v>1771</v>
      </c>
      <c r="F525" s="11" t="s">
        <v>1772</v>
      </c>
      <c r="G525" s="9"/>
    </row>
    <row r="526" spans="1:7" ht="15" customHeight="1" x14ac:dyDescent="0.3">
      <c r="A526" s="9" t="s">
        <v>815</v>
      </c>
      <c r="B526" s="9">
        <v>7502785</v>
      </c>
      <c r="C526" s="9" t="s">
        <v>814</v>
      </c>
      <c r="D526" s="9">
        <v>101378050</v>
      </c>
      <c r="E526" s="9" t="s">
        <v>1773</v>
      </c>
      <c r="F526" s="11" t="s">
        <v>1774</v>
      </c>
      <c r="G526" s="9" t="s">
        <v>1775</v>
      </c>
    </row>
    <row r="527" spans="1:7" ht="15" customHeight="1" x14ac:dyDescent="0.3">
      <c r="A527" s="9" t="s">
        <v>815</v>
      </c>
      <c r="B527" s="9">
        <v>7502785</v>
      </c>
      <c r="C527" s="9" t="s">
        <v>818</v>
      </c>
      <c r="D527" s="9">
        <v>101378045</v>
      </c>
      <c r="E527" s="9" t="s">
        <v>1773</v>
      </c>
      <c r="F527" s="11" t="s">
        <v>1774</v>
      </c>
      <c r="G527" s="9" t="s">
        <v>1775</v>
      </c>
    </row>
    <row r="528" spans="1:7" ht="15" customHeight="1" x14ac:dyDescent="0.3">
      <c r="A528" s="9" t="s">
        <v>815</v>
      </c>
      <c r="B528" s="9">
        <v>7502785</v>
      </c>
      <c r="C528" s="9" t="s">
        <v>820</v>
      </c>
      <c r="D528" s="9">
        <v>101378049</v>
      </c>
      <c r="E528" s="9" t="s">
        <v>1773</v>
      </c>
      <c r="F528" s="11" t="s">
        <v>1774</v>
      </c>
      <c r="G528" s="9" t="s">
        <v>1775</v>
      </c>
    </row>
    <row r="529" spans="1:8" ht="15" customHeight="1" x14ac:dyDescent="0.3">
      <c r="A529" s="9" t="s">
        <v>815</v>
      </c>
      <c r="B529" s="9">
        <v>7502785</v>
      </c>
      <c r="C529" s="9" t="s">
        <v>822</v>
      </c>
      <c r="D529" s="9">
        <v>101378048</v>
      </c>
      <c r="E529" s="9" t="s">
        <v>1773</v>
      </c>
      <c r="F529" s="11" t="s">
        <v>1774</v>
      </c>
      <c r="G529" s="9" t="s">
        <v>1775</v>
      </c>
    </row>
    <row r="530" spans="1:8" ht="15" customHeight="1" x14ac:dyDescent="0.3">
      <c r="A530" s="9" t="s">
        <v>815</v>
      </c>
      <c r="B530" s="9">
        <v>7502785</v>
      </c>
      <c r="C530" s="9" t="s">
        <v>824</v>
      </c>
      <c r="D530" s="9">
        <v>101378046</v>
      </c>
      <c r="E530" s="9" t="s">
        <v>1773</v>
      </c>
      <c r="F530" s="11" t="s">
        <v>1774</v>
      </c>
      <c r="G530" s="9" t="s">
        <v>1775</v>
      </c>
    </row>
    <row r="531" spans="1:8" ht="15" customHeight="1" x14ac:dyDescent="0.3">
      <c r="A531" s="9" t="s">
        <v>815</v>
      </c>
      <c r="B531" s="9">
        <v>7502785</v>
      </c>
      <c r="C531" s="9" t="s">
        <v>826</v>
      </c>
      <c r="D531" s="9">
        <v>101378047</v>
      </c>
      <c r="E531" s="9" t="s">
        <v>1773</v>
      </c>
      <c r="F531" s="11" t="s">
        <v>1774</v>
      </c>
      <c r="G531" s="9" t="s">
        <v>1775</v>
      </c>
    </row>
    <row r="532" spans="1:8" ht="15" customHeight="1" x14ac:dyDescent="0.3">
      <c r="A532" s="9" t="s">
        <v>862</v>
      </c>
      <c r="B532" s="9">
        <v>7504883</v>
      </c>
      <c r="C532" s="9" t="s">
        <v>861</v>
      </c>
      <c r="D532" s="9">
        <v>101387386</v>
      </c>
      <c r="E532" s="9" t="s">
        <v>1776</v>
      </c>
      <c r="F532" s="11" t="s">
        <v>1777</v>
      </c>
      <c r="G532" s="9"/>
    </row>
    <row r="533" spans="1:8" ht="15" customHeight="1" x14ac:dyDescent="0.3">
      <c r="A533" s="9" t="s">
        <v>862</v>
      </c>
      <c r="B533" s="9">
        <v>7504883</v>
      </c>
      <c r="C533" s="9" t="s">
        <v>865</v>
      </c>
      <c r="D533" s="9">
        <v>101387388</v>
      </c>
      <c r="E533" s="9" t="s">
        <v>1776</v>
      </c>
      <c r="F533" s="11" t="s">
        <v>1777</v>
      </c>
      <c r="G533" s="9"/>
    </row>
    <row r="534" spans="1:8" ht="15" customHeight="1" x14ac:dyDescent="0.3">
      <c r="A534" s="9" t="s">
        <v>97</v>
      </c>
      <c r="B534" s="9">
        <v>7463975</v>
      </c>
      <c r="C534" s="9" t="s">
        <v>101</v>
      </c>
      <c r="D534" s="9">
        <v>101203094</v>
      </c>
      <c r="E534" s="9" t="s">
        <v>1776</v>
      </c>
      <c r="F534" s="11" t="s">
        <v>1777</v>
      </c>
      <c r="G534" s="9"/>
    </row>
    <row r="535" spans="1:8" ht="15" customHeight="1" x14ac:dyDescent="0.3">
      <c r="A535" t="s">
        <v>353</v>
      </c>
      <c r="B535">
        <v>523553</v>
      </c>
      <c r="C535" t="s">
        <v>382</v>
      </c>
      <c r="D535">
        <v>101334617</v>
      </c>
      <c r="E535" t="s">
        <v>1778</v>
      </c>
      <c r="F535" s="2" t="s">
        <v>15</v>
      </c>
      <c r="G535" t="s">
        <v>1779</v>
      </c>
      <c r="H535" t="s">
        <v>17</v>
      </c>
    </row>
    <row r="536" spans="1:8" ht="15" customHeight="1" x14ac:dyDescent="0.3">
      <c r="A536" t="s">
        <v>874</v>
      </c>
      <c r="B536">
        <v>523553</v>
      </c>
      <c r="C536" t="s">
        <v>873</v>
      </c>
      <c r="D536">
        <v>101399984</v>
      </c>
      <c r="E536" t="s">
        <v>1778</v>
      </c>
      <c r="F536" s="2" t="s">
        <v>15</v>
      </c>
      <c r="G536" t="s">
        <v>1779</v>
      </c>
      <c r="H536" t="s">
        <v>17</v>
      </c>
    </row>
    <row r="537" spans="1:8" ht="15" customHeight="1" x14ac:dyDescent="0.3">
      <c r="A537" t="s">
        <v>874</v>
      </c>
      <c r="B537">
        <v>523553</v>
      </c>
      <c r="C537" t="s">
        <v>876</v>
      </c>
      <c r="D537">
        <v>101399985</v>
      </c>
      <c r="E537" t="s">
        <v>1778</v>
      </c>
      <c r="F537" s="2" t="s">
        <v>15</v>
      </c>
      <c r="G537" t="s">
        <v>1779</v>
      </c>
      <c r="H537" t="s">
        <v>17</v>
      </c>
    </row>
    <row r="538" spans="1:8" ht="15" customHeight="1" x14ac:dyDescent="0.3">
      <c r="A538" t="s">
        <v>874</v>
      </c>
      <c r="B538">
        <v>523553</v>
      </c>
      <c r="C538" t="s">
        <v>878</v>
      </c>
      <c r="D538">
        <v>101399986</v>
      </c>
      <c r="E538" t="s">
        <v>1778</v>
      </c>
      <c r="F538" s="2" t="s">
        <v>15</v>
      </c>
      <c r="G538" t="s">
        <v>1779</v>
      </c>
      <c r="H538" t="s">
        <v>17</v>
      </c>
    </row>
    <row r="539" spans="1:8" ht="15" customHeight="1" x14ac:dyDescent="0.3">
      <c r="A539" t="s">
        <v>794</v>
      </c>
      <c r="B539">
        <v>7502568</v>
      </c>
      <c r="C539" t="s">
        <v>798</v>
      </c>
      <c r="D539">
        <v>101377147</v>
      </c>
      <c r="E539" t="s">
        <v>1780</v>
      </c>
      <c r="F539" s="2" t="s">
        <v>15</v>
      </c>
      <c r="G539" t="s">
        <v>1781</v>
      </c>
      <c r="H539" t="s">
        <v>17</v>
      </c>
    </row>
    <row r="540" spans="1:8" ht="15" customHeight="1" x14ac:dyDescent="0.3">
      <c r="A540" t="s">
        <v>933</v>
      </c>
      <c r="B540">
        <v>502003</v>
      </c>
      <c r="C540" t="s">
        <v>992</v>
      </c>
      <c r="D540">
        <v>101009847</v>
      </c>
      <c r="E540" t="s">
        <v>1782</v>
      </c>
      <c r="F540" s="2" t="s">
        <v>15</v>
      </c>
      <c r="G540" t="s">
        <v>1783</v>
      </c>
      <c r="H540" t="s">
        <v>17</v>
      </c>
    </row>
    <row r="541" spans="1:8" ht="15" customHeight="1" x14ac:dyDescent="0.3">
      <c r="A541" t="s">
        <v>933</v>
      </c>
      <c r="B541">
        <v>502003</v>
      </c>
      <c r="C541" t="s">
        <v>964</v>
      </c>
      <c r="D541">
        <v>101188836</v>
      </c>
      <c r="E541" t="s">
        <v>1782</v>
      </c>
      <c r="F541" s="2" t="s">
        <v>15</v>
      </c>
      <c r="G541" t="s">
        <v>1783</v>
      </c>
      <c r="H541" t="s">
        <v>17</v>
      </c>
    </row>
    <row r="542" spans="1:8" ht="15" customHeight="1" x14ac:dyDescent="0.3">
      <c r="A542" t="s">
        <v>881</v>
      </c>
      <c r="B542">
        <v>7500609</v>
      </c>
      <c r="C542" t="s">
        <v>880</v>
      </c>
      <c r="D542">
        <v>101389327</v>
      </c>
      <c r="E542" t="s">
        <v>16</v>
      </c>
      <c r="F542" s="2" t="s">
        <v>15</v>
      </c>
      <c r="G542" t="s">
        <v>1784</v>
      </c>
      <c r="H542" t="s">
        <v>17</v>
      </c>
    </row>
    <row r="543" spans="1:8" ht="15" customHeight="1" x14ac:dyDescent="0.3">
      <c r="A543" t="s">
        <v>881</v>
      </c>
      <c r="B543">
        <v>7500609</v>
      </c>
      <c r="C543" t="s">
        <v>884</v>
      </c>
      <c r="D543">
        <v>101389328</v>
      </c>
      <c r="E543" t="s">
        <v>16</v>
      </c>
      <c r="F543" s="2" t="s">
        <v>15</v>
      </c>
      <c r="G543" t="s">
        <v>1784</v>
      </c>
      <c r="H543" t="s">
        <v>17</v>
      </c>
    </row>
    <row r="544" spans="1:8" ht="15" customHeight="1" x14ac:dyDescent="0.3">
      <c r="A544" t="s">
        <v>122</v>
      </c>
      <c r="B544">
        <v>7438426</v>
      </c>
      <c r="C544" t="s">
        <v>316</v>
      </c>
      <c r="D544">
        <v>101203051</v>
      </c>
      <c r="E544" t="s">
        <v>1785</v>
      </c>
      <c r="F544" s="2" t="s">
        <v>1786</v>
      </c>
      <c r="G544" t="s">
        <v>1787</v>
      </c>
      <c r="H544" t="s">
        <v>17</v>
      </c>
    </row>
    <row r="545" spans="1:8" ht="15" customHeight="1" x14ac:dyDescent="0.3">
      <c r="A545" t="s">
        <v>122</v>
      </c>
      <c r="B545">
        <v>7438426</v>
      </c>
      <c r="C545" t="s">
        <v>308</v>
      </c>
      <c r="D545">
        <v>101334295</v>
      </c>
      <c r="E545" t="s">
        <v>1785</v>
      </c>
      <c r="F545" s="2" t="s">
        <v>1786</v>
      </c>
      <c r="G545" t="s">
        <v>1787</v>
      </c>
      <c r="H545" t="s">
        <v>17</v>
      </c>
    </row>
    <row r="546" spans="1:8" s="9" customFormat="1" ht="15" customHeight="1" x14ac:dyDescent="0.3">
      <c r="A546" s="9" t="s">
        <v>122</v>
      </c>
      <c r="B546" s="9">
        <v>7438426</v>
      </c>
      <c r="C546" s="9" t="s">
        <v>299</v>
      </c>
      <c r="D546" s="9">
        <v>101334365</v>
      </c>
      <c r="E546" s="9" t="s">
        <v>1785</v>
      </c>
      <c r="F546" s="11" t="s">
        <v>1786</v>
      </c>
      <c r="G546" s="9" t="s">
        <v>1787</v>
      </c>
      <c r="H546" t="s">
        <v>17</v>
      </c>
    </row>
    <row r="547" spans="1:8" s="9" customFormat="1" ht="15" customHeight="1" x14ac:dyDescent="0.3">
      <c r="A547" s="9" t="s">
        <v>122</v>
      </c>
      <c r="B547" s="9">
        <v>7438426</v>
      </c>
      <c r="C547" s="9" t="s">
        <v>320</v>
      </c>
      <c r="D547" s="9">
        <v>101203050</v>
      </c>
      <c r="E547" s="9" t="s">
        <v>1785</v>
      </c>
      <c r="F547" s="11" t="s">
        <v>1786</v>
      </c>
      <c r="G547" s="9" t="s">
        <v>1787</v>
      </c>
      <c r="H547" t="s">
        <v>17</v>
      </c>
    </row>
    <row r="548" spans="1:8" s="9" customFormat="1" ht="15" customHeight="1" x14ac:dyDescent="0.3">
      <c r="A548" s="9" t="s">
        <v>122</v>
      </c>
      <c r="B548" s="9">
        <v>7438426</v>
      </c>
      <c r="C548" s="9" t="s">
        <v>302</v>
      </c>
      <c r="D548" s="9">
        <v>101334361</v>
      </c>
      <c r="E548" s="9" t="s">
        <v>1785</v>
      </c>
      <c r="F548" s="11" t="s">
        <v>1786</v>
      </c>
      <c r="G548" s="9" t="s">
        <v>1787</v>
      </c>
      <c r="H548" t="s">
        <v>17</v>
      </c>
    </row>
    <row r="549" spans="1:8" s="9" customFormat="1" ht="15" customHeight="1" x14ac:dyDescent="0.3">
      <c r="A549" s="9" t="s">
        <v>122</v>
      </c>
      <c r="B549" s="9">
        <v>7438426</v>
      </c>
      <c r="C549" s="9" t="s">
        <v>121</v>
      </c>
      <c r="D549" s="9">
        <v>101244645</v>
      </c>
      <c r="E549" s="9" t="s">
        <v>1785</v>
      </c>
      <c r="F549" s="11" t="s">
        <v>1786</v>
      </c>
      <c r="G549" s="9" t="s">
        <v>1787</v>
      </c>
      <c r="H549" t="s">
        <v>17</v>
      </c>
    </row>
    <row r="550" spans="1:8" s="9" customFormat="1" ht="15" customHeight="1" x14ac:dyDescent="0.3">
      <c r="A550" s="9" t="s">
        <v>122</v>
      </c>
      <c r="B550" s="9">
        <v>7438426</v>
      </c>
      <c r="C550" s="9" t="s">
        <v>314</v>
      </c>
      <c r="D550" s="9">
        <v>101334359</v>
      </c>
      <c r="E550" s="9" t="s">
        <v>1785</v>
      </c>
      <c r="F550" s="11" t="s">
        <v>1786</v>
      </c>
      <c r="G550" s="9" t="s">
        <v>1787</v>
      </c>
      <c r="H550" t="s">
        <v>17</v>
      </c>
    </row>
    <row r="551" spans="1:8" s="9" customFormat="1" ht="15" customHeight="1" x14ac:dyDescent="0.3">
      <c r="A551" s="9" t="s">
        <v>83</v>
      </c>
      <c r="B551" s="9">
        <v>7477481</v>
      </c>
      <c r="C551" s="9" t="s">
        <v>82</v>
      </c>
      <c r="D551" s="9">
        <v>101252412</v>
      </c>
      <c r="E551" s="9" t="s">
        <v>1788</v>
      </c>
      <c r="F551" s="11" t="s">
        <v>1786</v>
      </c>
      <c r="G551" s="9" t="s">
        <v>1789</v>
      </c>
      <c r="H551" t="s">
        <v>17</v>
      </c>
    </row>
    <row r="552" spans="1:8" s="9" customFormat="1" ht="15" customHeight="1" x14ac:dyDescent="0.3">
      <c r="A552" s="9" t="s">
        <v>83</v>
      </c>
      <c r="B552" s="9">
        <v>7477481</v>
      </c>
      <c r="C552" s="9" t="s">
        <v>84</v>
      </c>
      <c r="D552" s="9">
        <v>101334291</v>
      </c>
      <c r="E552" s="9" t="s">
        <v>1788</v>
      </c>
      <c r="F552" s="11" t="s">
        <v>1786</v>
      </c>
      <c r="G552" s="9" t="s">
        <v>1789</v>
      </c>
      <c r="H552" t="s">
        <v>17</v>
      </c>
    </row>
    <row r="553" spans="1:8" s="9" customFormat="1" ht="15" customHeight="1" x14ac:dyDescent="0.3">
      <c r="A553" s="9" t="s">
        <v>22</v>
      </c>
      <c r="B553" s="9">
        <v>0</v>
      </c>
      <c r="C553" s="9" t="s">
        <v>1790</v>
      </c>
      <c r="D553" s="9">
        <v>101216950</v>
      </c>
      <c r="E553" s="9" t="s">
        <v>1791</v>
      </c>
      <c r="F553" s="11" t="s">
        <v>1792</v>
      </c>
      <c r="G553" s="9" t="s">
        <v>1793</v>
      </c>
      <c r="H553" t="s">
        <v>17</v>
      </c>
    </row>
    <row r="554" spans="1:8" s="9" customFormat="1" ht="15" customHeight="1" x14ac:dyDescent="0.3">
      <c r="A554" s="9" t="s">
        <v>55</v>
      </c>
      <c r="B554" s="9">
        <v>7461854</v>
      </c>
      <c r="C554" s="9" t="s">
        <v>1794</v>
      </c>
      <c r="D554" s="9">
        <v>101252641</v>
      </c>
      <c r="E554" s="9" t="s">
        <v>1795</v>
      </c>
      <c r="F554" s="11" t="s">
        <v>1796</v>
      </c>
      <c r="G554" s="9" t="s">
        <v>1611</v>
      </c>
      <c r="H554" t="s">
        <v>17</v>
      </c>
    </row>
    <row r="555" spans="1:8" s="9" customFormat="1" ht="15" customHeight="1" x14ac:dyDescent="0.3">
      <c r="A555" s="9" t="s">
        <v>933</v>
      </c>
      <c r="B555" s="9">
        <v>502003</v>
      </c>
      <c r="C555" s="9" t="s">
        <v>1396</v>
      </c>
      <c r="D555" s="9">
        <v>101017141</v>
      </c>
      <c r="E555" s="9" t="s">
        <v>1797</v>
      </c>
      <c r="F555" s="11" t="s">
        <v>1796</v>
      </c>
      <c r="G555" s="9" t="s">
        <v>1666</v>
      </c>
      <c r="H555" t="s">
        <v>17</v>
      </c>
    </row>
    <row r="556" spans="1:8" s="9" customFormat="1" ht="15" customHeight="1" x14ac:dyDescent="0.3">
      <c r="A556" s="9" t="s">
        <v>887</v>
      </c>
      <c r="B556" s="9">
        <v>7411261</v>
      </c>
      <c r="C556" s="9" t="s">
        <v>886</v>
      </c>
      <c r="D556" s="9">
        <v>100974302</v>
      </c>
      <c r="E556" s="9" t="s">
        <v>1798</v>
      </c>
      <c r="F556" s="11" t="s">
        <v>1799</v>
      </c>
      <c r="G556" s="9" t="s">
        <v>1800</v>
      </c>
      <c r="H556" t="s">
        <v>17</v>
      </c>
    </row>
    <row r="557" spans="1:8" s="9" customFormat="1" ht="15" customHeight="1" x14ac:dyDescent="0.3">
      <c r="A557" s="9" t="s">
        <v>887</v>
      </c>
      <c r="B557" s="9">
        <v>7411261</v>
      </c>
      <c r="C557" s="9" t="s">
        <v>890</v>
      </c>
      <c r="D557" s="9">
        <v>101294351</v>
      </c>
      <c r="E557" s="9" t="s">
        <v>1798</v>
      </c>
      <c r="F557" s="11" t="s">
        <v>1799</v>
      </c>
      <c r="G557" s="9" t="s">
        <v>1800</v>
      </c>
      <c r="H557" t="s">
        <v>17</v>
      </c>
    </row>
    <row r="558" spans="1:8" s="9" customFormat="1" ht="15" customHeight="1" x14ac:dyDescent="0.3">
      <c r="A558" s="9" t="s">
        <v>893</v>
      </c>
      <c r="B558" s="9">
        <v>7426293</v>
      </c>
      <c r="C558" s="9" t="s">
        <v>892</v>
      </c>
      <c r="D558" s="9">
        <v>101216921</v>
      </c>
      <c r="E558" s="9" t="s">
        <v>1323</v>
      </c>
      <c r="F558" s="11" t="s">
        <v>1801</v>
      </c>
      <c r="G558" s="9" t="s">
        <v>1802</v>
      </c>
      <c r="H558" t="s">
        <v>17</v>
      </c>
    </row>
    <row r="559" spans="1:8" s="9" customFormat="1" ht="15" customHeight="1" x14ac:dyDescent="0.3">
      <c r="A559" s="9" t="s">
        <v>893</v>
      </c>
      <c r="B559" s="9">
        <v>7426293</v>
      </c>
      <c r="C559" s="9" t="s">
        <v>896</v>
      </c>
      <c r="D559" s="9">
        <v>101189843</v>
      </c>
      <c r="E559" s="9" t="s">
        <v>1323</v>
      </c>
      <c r="F559" s="11" t="s">
        <v>1801</v>
      </c>
      <c r="G559" s="9" t="s">
        <v>1802</v>
      </c>
      <c r="H559" t="s">
        <v>17</v>
      </c>
    </row>
    <row r="560" spans="1:8" s="9" customFormat="1" ht="15" customHeight="1" x14ac:dyDescent="0.3">
      <c r="A560" s="9" t="s">
        <v>893</v>
      </c>
      <c r="B560" s="9">
        <v>7426293</v>
      </c>
      <c r="C560" s="9" t="s">
        <v>898</v>
      </c>
      <c r="D560" s="9">
        <v>101216916</v>
      </c>
      <c r="E560" s="9" t="s">
        <v>1323</v>
      </c>
      <c r="F560" s="11" t="s">
        <v>1801</v>
      </c>
      <c r="G560" s="9" t="s">
        <v>1802</v>
      </c>
      <c r="H560" t="s">
        <v>17</v>
      </c>
    </row>
    <row r="561" spans="1:8" s="9" customFormat="1" ht="15" customHeight="1" x14ac:dyDescent="0.3">
      <c r="A561" s="9" t="s">
        <v>893</v>
      </c>
      <c r="B561" s="9">
        <v>7426293</v>
      </c>
      <c r="C561" s="9" t="s">
        <v>901</v>
      </c>
      <c r="D561" s="9">
        <v>101252635</v>
      </c>
      <c r="E561" s="9" t="s">
        <v>1323</v>
      </c>
      <c r="F561" s="11" t="s">
        <v>1801</v>
      </c>
      <c r="G561" s="9" t="s">
        <v>1802</v>
      </c>
      <c r="H561" t="s">
        <v>17</v>
      </c>
    </row>
    <row r="562" spans="1:8" s="9" customFormat="1" ht="15" customHeight="1" x14ac:dyDescent="0.3">
      <c r="A562" s="9" t="s">
        <v>893</v>
      </c>
      <c r="B562" s="9">
        <v>7426293</v>
      </c>
      <c r="C562" s="9" t="s">
        <v>902</v>
      </c>
      <c r="D562" s="9">
        <v>101252633</v>
      </c>
      <c r="E562" s="9" t="s">
        <v>1323</v>
      </c>
      <c r="F562" s="11" t="s">
        <v>1801</v>
      </c>
      <c r="G562" s="9" t="s">
        <v>1802</v>
      </c>
      <c r="H562" t="s">
        <v>17</v>
      </c>
    </row>
    <row r="563" spans="1:8" s="9" customFormat="1" ht="15" customHeight="1" x14ac:dyDescent="0.3">
      <c r="A563" s="9" t="s">
        <v>893</v>
      </c>
      <c r="B563" s="9">
        <v>7426293</v>
      </c>
      <c r="C563" s="9" t="s">
        <v>903</v>
      </c>
      <c r="D563" s="9">
        <v>101216920</v>
      </c>
      <c r="E563" s="9" t="s">
        <v>1323</v>
      </c>
      <c r="F563" s="11" t="s">
        <v>1801</v>
      </c>
      <c r="G563" s="9" t="s">
        <v>1802</v>
      </c>
      <c r="H563" t="s">
        <v>17</v>
      </c>
    </row>
    <row r="564" spans="1:8" s="9" customFormat="1" ht="15" customHeight="1" x14ac:dyDescent="0.3">
      <c r="A564" s="9" t="s">
        <v>893</v>
      </c>
      <c r="B564" s="9">
        <v>7426293</v>
      </c>
      <c r="C564" s="9" t="s">
        <v>905</v>
      </c>
      <c r="D564" s="9">
        <v>101023394</v>
      </c>
      <c r="E564" s="9" t="s">
        <v>1323</v>
      </c>
      <c r="F564" s="11" t="s">
        <v>1801</v>
      </c>
      <c r="G564" s="9" t="s">
        <v>1802</v>
      </c>
      <c r="H564" t="s">
        <v>17</v>
      </c>
    </row>
    <row r="565" spans="1:8" s="9" customFormat="1" ht="15" customHeight="1" x14ac:dyDescent="0.3">
      <c r="A565" s="9" t="s">
        <v>893</v>
      </c>
      <c r="B565" s="9">
        <v>7426293</v>
      </c>
      <c r="C565" s="9" t="s">
        <v>908</v>
      </c>
      <c r="D565" s="9">
        <v>101216919</v>
      </c>
      <c r="E565" s="9" t="s">
        <v>1323</v>
      </c>
      <c r="F565" s="11" t="s">
        <v>1801</v>
      </c>
      <c r="G565" s="9" t="s">
        <v>1802</v>
      </c>
      <c r="H565" t="s">
        <v>17</v>
      </c>
    </row>
    <row r="566" spans="1:8" s="9" customFormat="1" ht="15" customHeight="1" x14ac:dyDescent="0.3">
      <c r="A566" s="9" t="s">
        <v>893</v>
      </c>
      <c r="B566" s="9">
        <v>7426293</v>
      </c>
      <c r="C566" s="9" t="s">
        <v>910</v>
      </c>
      <c r="D566" s="9">
        <v>101216914</v>
      </c>
      <c r="E566" s="9" t="s">
        <v>1323</v>
      </c>
      <c r="F566" s="11" t="s">
        <v>1801</v>
      </c>
      <c r="G566" s="9" t="s">
        <v>1802</v>
      </c>
      <c r="H566" t="s">
        <v>17</v>
      </c>
    </row>
    <row r="567" spans="1:8" s="9" customFormat="1" ht="15" customHeight="1" x14ac:dyDescent="0.3">
      <c r="A567" s="9" t="s">
        <v>122</v>
      </c>
      <c r="B567" s="9">
        <v>7438426</v>
      </c>
      <c r="C567" s="9" t="s">
        <v>308</v>
      </c>
      <c r="D567" s="9">
        <v>101334295</v>
      </c>
      <c r="E567" s="9" t="s">
        <v>1803</v>
      </c>
      <c r="F567" s="11" t="s">
        <v>1804</v>
      </c>
      <c r="G567" s="9" t="s">
        <v>1805</v>
      </c>
      <c r="H567" t="s">
        <v>17</v>
      </c>
    </row>
    <row r="568" spans="1:8" ht="15" customHeight="1" x14ac:dyDescent="0.3">
      <c r="A568" t="s">
        <v>24</v>
      </c>
      <c r="B568">
        <v>532861</v>
      </c>
      <c r="C568" t="s">
        <v>23</v>
      </c>
      <c r="D568">
        <v>100922948</v>
      </c>
      <c r="E568" t="s">
        <v>1806</v>
      </c>
      <c r="F568" s="2" t="s">
        <v>1807</v>
      </c>
      <c r="G568" t="s">
        <v>1808</v>
      </c>
      <c r="H568" t="s">
        <v>17</v>
      </c>
    </row>
    <row r="569" spans="1:8" ht="15" customHeight="1" x14ac:dyDescent="0.3">
      <c r="A569" t="s">
        <v>815</v>
      </c>
      <c r="B569">
        <v>7502785</v>
      </c>
      <c r="C569" t="s">
        <v>814</v>
      </c>
      <c r="D569">
        <v>101378050</v>
      </c>
      <c r="E569" t="s">
        <v>1806</v>
      </c>
      <c r="F569" s="2" t="s">
        <v>1809</v>
      </c>
      <c r="G569" t="s">
        <v>1810</v>
      </c>
      <c r="H569" t="s">
        <v>17</v>
      </c>
    </row>
    <row r="570" spans="1:8" ht="15" customHeight="1" x14ac:dyDescent="0.3">
      <c r="A570" t="s">
        <v>815</v>
      </c>
      <c r="B570">
        <v>7502785</v>
      </c>
      <c r="C570" t="s">
        <v>913</v>
      </c>
      <c r="D570">
        <v>101378044</v>
      </c>
      <c r="E570" t="s">
        <v>1806</v>
      </c>
      <c r="F570" s="2" t="s">
        <v>1809</v>
      </c>
      <c r="G570" t="s">
        <v>1810</v>
      </c>
      <c r="H570" t="s">
        <v>17</v>
      </c>
    </row>
    <row r="571" spans="1:8" ht="15" customHeight="1" x14ac:dyDescent="0.3">
      <c r="A571" t="s">
        <v>55</v>
      </c>
      <c r="B571">
        <v>7461854</v>
      </c>
      <c r="C571" t="s">
        <v>54</v>
      </c>
      <c r="D571">
        <v>101252641</v>
      </c>
      <c r="E571" t="s">
        <v>1811</v>
      </c>
      <c r="F571" s="2" t="s">
        <v>1809</v>
      </c>
      <c r="G571" t="s">
        <v>1812</v>
      </c>
      <c r="H571" t="s">
        <v>17</v>
      </c>
    </row>
    <row r="572" spans="1:8" ht="15" customHeight="1" x14ac:dyDescent="0.3">
      <c r="A572" t="s">
        <v>55</v>
      </c>
      <c r="B572">
        <v>7461854</v>
      </c>
      <c r="C572" t="s">
        <v>65</v>
      </c>
      <c r="D572">
        <v>101189848</v>
      </c>
      <c r="E572" t="s">
        <v>1811</v>
      </c>
      <c r="F572" s="2" t="s">
        <v>1809</v>
      </c>
      <c r="G572" t="s">
        <v>1812</v>
      </c>
      <c r="H572" t="s">
        <v>17</v>
      </c>
    </row>
    <row r="573" spans="1:8" ht="15" customHeight="1" x14ac:dyDescent="0.3">
      <c r="A573" t="s">
        <v>55</v>
      </c>
      <c r="B573">
        <v>7461854</v>
      </c>
      <c r="C573" t="s">
        <v>66</v>
      </c>
      <c r="D573">
        <v>101244634</v>
      </c>
      <c r="E573" t="s">
        <v>1811</v>
      </c>
      <c r="F573" s="2" t="s">
        <v>1809</v>
      </c>
      <c r="G573" t="s">
        <v>1812</v>
      </c>
      <c r="H573" t="s">
        <v>17</v>
      </c>
    </row>
    <row r="574" spans="1:8" ht="15" customHeight="1" x14ac:dyDescent="0.3">
      <c r="A574" t="s">
        <v>30</v>
      </c>
      <c r="B574">
        <v>506398</v>
      </c>
      <c r="C574" t="s">
        <v>29</v>
      </c>
      <c r="D574">
        <v>100899593</v>
      </c>
      <c r="E574" t="s">
        <v>1806</v>
      </c>
      <c r="F574" s="2" t="s">
        <v>1809</v>
      </c>
      <c r="G574" t="s">
        <v>1813</v>
      </c>
      <c r="H574" t="s">
        <v>17</v>
      </c>
    </row>
    <row r="575" spans="1:8" ht="15" customHeight="1" x14ac:dyDescent="0.3">
      <c r="A575" t="s">
        <v>345</v>
      </c>
      <c r="B575">
        <v>7500610</v>
      </c>
      <c r="C575" t="s">
        <v>344</v>
      </c>
      <c r="D575">
        <v>101369222</v>
      </c>
      <c r="E575" t="s">
        <v>1814</v>
      </c>
      <c r="F575" s="2" t="s">
        <v>1815</v>
      </c>
      <c r="G575" t="s">
        <v>1814</v>
      </c>
      <c r="H575" t="s">
        <v>17</v>
      </c>
    </row>
    <row r="576" spans="1:8" ht="15" customHeight="1" x14ac:dyDescent="0.3">
      <c r="A576" t="s">
        <v>345</v>
      </c>
      <c r="B576">
        <v>7500610</v>
      </c>
      <c r="C576" t="s">
        <v>348</v>
      </c>
      <c r="D576">
        <v>101369223</v>
      </c>
      <c r="E576" t="s">
        <v>1814</v>
      </c>
      <c r="F576" s="2" t="s">
        <v>1815</v>
      </c>
      <c r="G576" t="s">
        <v>1814</v>
      </c>
      <c r="H576" t="s">
        <v>17</v>
      </c>
    </row>
    <row r="577" spans="1:8" ht="15" customHeight="1" x14ac:dyDescent="0.3">
      <c r="A577" t="s">
        <v>345</v>
      </c>
      <c r="B577">
        <v>7500610</v>
      </c>
      <c r="C577" t="s">
        <v>350</v>
      </c>
      <c r="D577">
        <v>101369224</v>
      </c>
      <c r="E577" t="s">
        <v>1814</v>
      </c>
      <c r="F577" s="2" t="s">
        <v>1815</v>
      </c>
      <c r="G577" t="s">
        <v>1814</v>
      </c>
      <c r="H577" t="s">
        <v>17</v>
      </c>
    </row>
    <row r="578" spans="1:8" ht="15" customHeight="1" x14ac:dyDescent="0.3">
      <c r="A578" t="s">
        <v>345</v>
      </c>
      <c r="B578">
        <v>7502568</v>
      </c>
      <c r="C578" t="s">
        <v>802</v>
      </c>
      <c r="D578">
        <v>101381828</v>
      </c>
      <c r="E578" t="s">
        <v>1814</v>
      </c>
      <c r="F578" s="2" t="s">
        <v>1815</v>
      </c>
      <c r="G578" t="s">
        <v>1814</v>
      </c>
      <c r="H578" t="s">
        <v>17</v>
      </c>
    </row>
    <row r="579" spans="1:8" ht="15" customHeight="1" x14ac:dyDescent="0.3">
      <c r="A579" t="s">
        <v>345</v>
      </c>
      <c r="B579">
        <v>7502568</v>
      </c>
      <c r="C579" t="s">
        <v>804</v>
      </c>
      <c r="D579">
        <v>101381831</v>
      </c>
      <c r="E579" t="s">
        <v>1814</v>
      </c>
      <c r="F579" s="2" t="s">
        <v>1815</v>
      </c>
      <c r="G579" t="s">
        <v>1814</v>
      </c>
      <c r="H579" t="s">
        <v>17</v>
      </c>
    </row>
    <row r="580" spans="1:8" ht="15" customHeight="1" x14ac:dyDescent="0.3">
      <c r="A580" t="s">
        <v>345</v>
      </c>
      <c r="B580">
        <v>7500610</v>
      </c>
      <c r="C580" t="s">
        <v>806</v>
      </c>
      <c r="D580">
        <v>101381844</v>
      </c>
      <c r="E580" t="s">
        <v>1816</v>
      </c>
      <c r="F580" s="2" t="s">
        <v>1815</v>
      </c>
      <c r="G580" t="s">
        <v>1814</v>
      </c>
      <c r="H580" t="s">
        <v>17</v>
      </c>
    </row>
    <row r="581" spans="1:8" ht="15" customHeight="1" x14ac:dyDescent="0.3">
      <c r="A581" t="s">
        <v>345</v>
      </c>
      <c r="B581">
        <v>7500610</v>
      </c>
      <c r="C581" t="s">
        <v>808</v>
      </c>
      <c r="D581">
        <v>101381821</v>
      </c>
      <c r="E581" t="s">
        <v>1814</v>
      </c>
      <c r="F581" s="2" t="s">
        <v>1815</v>
      </c>
      <c r="G581" t="s">
        <v>1814</v>
      </c>
      <c r="H581" t="s">
        <v>17</v>
      </c>
    </row>
    <row r="582" spans="1:8" ht="15" customHeight="1" x14ac:dyDescent="0.3">
      <c r="A582" t="s">
        <v>345</v>
      </c>
      <c r="B582">
        <v>7500610</v>
      </c>
      <c r="C582" t="s">
        <v>810</v>
      </c>
      <c r="D582">
        <v>101381830</v>
      </c>
      <c r="E582" t="s">
        <v>1814</v>
      </c>
      <c r="F582" s="2" t="s">
        <v>1815</v>
      </c>
      <c r="G582" t="s">
        <v>1814</v>
      </c>
      <c r="H582" t="s">
        <v>17</v>
      </c>
    </row>
    <row r="583" spans="1:8" ht="15" customHeight="1" x14ac:dyDescent="0.3">
      <c r="A583" t="s">
        <v>345</v>
      </c>
      <c r="B583">
        <v>7500610</v>
      </c>
      <c r="C583" t="s">
        <v>812</v>
      </c>
      <c r="D583">
        <v>101381829</v>
      </c>
      <c r="E583" t="s">
        <v>1814</v>
      </c>
      <c r="F583" s="2" t="s">
        <v>1815</v>
      </c>
      <c r="G583" t="s">
        <v>1814</v>
      </c>
      <c r="H583" t="s">
        <v>17</v>
      </c>
    </row>
    <row r="584" spans="1:8" ht="15" customHeight="1" x14ac:dyDescent="0.3">
      <c r="A584" t="s">
        <v>917</v>
      </c>
      <c r="B584" t="s">
        <v>918</v>
      </c>
      <c r="C584" t="s">
        <v>916</v>
      </c>
      <c r="D584">
        <v>101400049</v>
      </c>
      <c r="E584" t="s">
        <v>1817</v>
      </c>
      <c r="F584" s="2" t="s">
        <v>1818</v>
      </c>
      <c r="G584" t="s">
        <v>1819</v>
      </c>
      <c r="H584" t="s">
        <v>17</v>
      </c>
    </row>
    <row r="585" spans="1:8" ht="15" customHeight="1" x14ac:dyDescent="0.3">
      <c r="A585" t="s">
        <v>917</v>
      </c>
      <c r="B585" t="s">
        <v>918</v>
      </c>
      <c r="C585" t="s">
        <v>920</v>
      </c>
      <c r="D585">
        <v>101400046</v>
      </c>
      <c r="E585" t="s">
        <v>1817</v>
      </c>
      <c r="F585" s="2" t="s">
        <v>1818</v>
      </c>
      <c r="G585" t="s">
        <v>1819</v>
      </c>
      <c r="H585" t="s">
        <v>17</v>
      </c>
    </row>
    <row r="586" spans="1:8" ht="15" customHeight="1" x14ac:dyDescent="0.3">
      <c r="A586" t="s">
        <v>917</v>
      </c>
      <c r="B586" t="s">
        <v>918</v>
      </c>
      <c r="C586" t="s">
        <v>921</v>
      </c>
      <c r="D586">
        <v>101400044</v>
      </c>
      <c r="E586" t="s">
        <v>1817</v>
      </c>
      <c r="F586" s="2" t="s">
        <v>1818</v>
      </c>
      <c r="G586" t="s">
        <v>1819</v>
      </c>
      <c r="H586" t="s">
        <v>17</v>
      </c>
    </row>
    <row r="587" spans="1:8" ht="15" customHeight="1" x14ac:dyDescent="0.3">
      <c r="A587" t="s">
        <v>917</v>
      </c>
      <c r="B587" t="s">
        <v>918</v>
      </c>
      <c r="C587" t="s">
        <v>922</v>
      </c>
      <c r="D587">
        <v>101400051</v>
      </c>
      <c r="E587" t="s">
        <v>1817</v>
      </c>
      <c r="F587" s="2" t="s">
        <v>1818</v>
      </c>
      <c r="G587" t="s">
        <v>1819</v>
      </c>
      <c r="H587" t="s">
        <v>17</v>
      </c>
    </row>
    <row r="588" spans="1:8" ht="15" customHeight="1" x14ac:dyDescent="0.3">
      <c r="A588" t="s">
        <v>917</v>
      </c>
      <c r="B588" t="s">
        <v>918</v>
      </c>
      <c r="C588" t="s">
        <v>923</v>
      </c>
      <c r="D588">
        <v>101400038</v>
      </c>
      <c r="E588" t="s">
        <v>1817</v>
      </c>
      <c r="F588" s="2" t="s">
        <v>1818</v>
      </c>
      <c r="G588" t="s">
        <v>1819</v>
      </c>
      <c r="H588" t="s">
        <v>17</v>
      </c>
    </row>
    <row r="589" spans="1:8" ht="15" customHeight="1" x14ac:dyDescent="0.3">
      <c r="A589" t="s">
        <v>917</v>
      </c>
      <c r="B589" t="s">
        <v>918</v>
      </c>
      <c r="C589" t="s">
        <v>924</v>
      </c>
      <c r="D589">
        <v>101400045</v>
      </c>
      <c r="E589" t="s">
        <v>1817</v>
      </c>
      <c r="F589" s="2" t="s">
        <v>1818</v>
      </c>
      <c r="G589" t="s">
        <v>1819</v>
      </c>
      <c r="H589" t="s">
        <v>17</v>
      </c>
    </row>
    <row r="590" spans="1:8" ht="15" customHeight="1" x14ac:dyDescent="0.3">
      <c r="A590" t="s">
        <v>917</v>
      </c>
      <c r="B590" t="s">
        <v>918</v>
      </c>
      <c r="C590" t="s">
        <v>925</v>
      </c>
      <c r="D590">
        <v>101400052</v>
      </c>
      <c r="E590" t="s">
        <v>1817</v>
      </c>
      <c r="F590" s="2" t="s">
        <v>1818</v>
      </c>
      <c r="G590" t="s">
        <v>1819</v>
      </c>
      <c r="H590" t="s">
        <v>17</v>
      </c>
    </row>
    <row r="591" spans="1:8" ht="15" customHeight="1" x14ac:dyDescent="0.3">
      <c r="A591" t="s">
        <v>917</v>
      </c>
      <c r="B591" t="s">
        <v>918</v>
      </c>
      <c r="C591" t="s">
        <v>926</v>
      </c>
      <c r="D591">
        <v>101400048</v>
      </c>
      <c r="E591" t="s">
        <v>1817</v>
      </c>
      <c r="F591" s="2" t="s">
        <v>1818</v>
      </c>
      <c r="G591" t="s">
        <v>1819</v>
      </c>
      <c r="H591" t="s">
        <v>17</v>
      </c>
    </row>
    <row r="592" spans="1:8" ht="15" customHeight="1" x14ac:dyDescent="0.3">
      <c r="A592" t="s">
        <v>928</v>
      </c>
      <c r="B592">
        <v>7426293</v>
      </c>
      <c r="C592" t="s">
        <v>927</v>
      </c>
      <c r="D592">
        <v>101400041</v>
      </c>
      <c r="E592" t="s">
        <v>1323</v>
      </c>
      <c r="F592" s="2" t="s">
        <v>1801</v>
      </c>
      <c r="G592" t="s">
        <v>1802</v>
      </c>
      <c r="H592" t="s">
        <v>17</v>
      </c>
    </row>
    <row r="593" spans="1:8" ht="15" customHeight="1" x14ac:dyDescent="0.3">
      <c r="A593" t="s">
        <v>928</v>
      </c>
      <c r="B593">
        <v>7426293</v>
      </c>
      <c r="C593" t="s">
        <v>929</v>
      </c>
      <c r="D593">
        <v>101400039</v>
      </c>
      <c r="E593" t="s">
        <v>1323</v>
      </c>
      <c r="F593" s="2" t="s">
        <v>1801</v>
      </c>
      <c r="G593" t="s">
        <v>1802</v>
      </c>
      <c r="H593" t="s">
        <v>17</v>
      </c>
    </row>
    <row r="594" spans="1:8" ht="15" customHeight="1" x14ac:dyDescent="0.3">
      <c r="A594" t="s">
        <v>928</v>
      </c>
      <c r="B594">
        <v>7426293</v>
      </c>
      <c r="C594" t="s">
        <v>930</v>
      </c>
      <c r="D594">
        <v>101400043</v>
      </c>
      <c r="E594" t="s">
        <v>1323</v>
      </c>
      <c r="F594" s="2" t="s">
        <v>1801</v>
      </c>
      <c r="G594" t="s">
        <v>1802</v>
      </c>
      <c r="H594" t="s">
        <v>17</v>
      </c>
    </row>
    <row r="595" spans="1:8" ht="15" customHeight="1" x14ac:dyDescent="0.3">
      <c r="A595" t="s">
        <v>928</v>
      </c>
      <c r="B595">
        <v>7426293</v>
      </c>
      <c r="C595" t="s">
        <v>931</v>
      </c>
      <c r="D595">
        <v>101400042</v>
      </c>
      <c r="E595" t="s">
        <v>1323</v>
      </c>
      <c r="F595" s="2" t="s">
        <v>1801</v>
      </c>
      <c r="G595" t="s">
        <v>1802</v>
      </c>
      <c r="H595" t="s">
        <v>17</v>
      </c>
    </row>
    <row r="596" spans="1:8" ht="15" customHeight="1" x14ac:dyDescent="0.3">
      <c r="A596" t="s">
        <v>460</v>
      </c>
      <c r="B596">
        <v>508073</v>
      </c>
      <c r="C596" t="s">
        <v>496</v>
      </c>
      <c r="D596">
        <v>101328097</v>
      </c>
      <c r="E596" t="s">
        <v>1820</v>
      </c>
      <c r="F596" s="2" t="s">
        <v>1821</v>
      </c>
      <c r="G596" t="s">
        <v>1822</v>
      </c>
      <c r="H596" t="s">
        <v>17</v>
      </c>
    </row>
    <row r="597" spans="1:8" ht="15" customHeight="1" x14ac:dyDescent="0.3">
      <c r="A597" t="s">
        <v>460</v>
      </c>
      <c r="B597">
        <v>508073</v>
      </c>
      <c r="C597" t="s">
        <v>459</v>
      </c>
      <c r="D597">
        <v>101189700</v>
      </c>
      <c r="E597" t="s">
        <v>1820</v>
      </c>
      <c r="F597" s="2" t="s">
        <v>1821</v>
      </c>
      <c r="G597" t="s">
        <v>1822</v>
      </c>
      <c r="H597" t="s">
        <v>17</v>
      </c>
    </row>
    <row r="598" spans="1:8" ht="15" customHeight="1" x14ac:dyDescent="0.3">
      <c r="A598" t="s">
        <v>460</v>
      </c>
      <c r="B598">
        <v>508073</v>
      </c>
      <c r="C598" t="s">
        <v>476</v>
      </c>
      <c r="D598">
        <v>101238163</v>
      </c>
      <c r="E598" t="s">
        <v>1820</v>
      </c>
      <c r="F598" s="2" t="s">
        <v>1821</v>
      </c>
      <c r="G598" t="s">
        <v>1822</v>
      </c>
      <c r="H598" t="s">
        <v>17</v>
      </c>
    </row>
    <row r="599" spans="1:8" ht="15" customHeight="1" x14ac:dyDescent="0.3">
      <c r="A599" t="s">
        <v>460</v>
      </c>
      <c r="B599">
        <v>508073</v>
      </c>
      <c r="C599" t="s">
        <v>489</v>
      </c>
      <c r="D599">
        <v>101189701</v>
      </c>
      <c r="E599" t="s">
        <v>1820</v>
      </c>
      <c r="F599" s="2" t="s">
        <v>1821</v>
      </c>
      <c r="G599" t="s">
        <v>1822</v>
      </c>
      <c r="H599" t="s">
        <v>17</v>
      </c>
    </row>
    <row r="600" spans="1:8" ht="15" customHeight="1" x14ac:dyDescent="0.3">
      <c r="A600" t="s">
        <v>353</v>
      </c>
      <c r="B600">
        <v>523553</v>
      </c>
      <c r="C600" t="s">
        <v>396</v>
      </c>
      <c r="D600">
        <v>101374950</v>
      </c>
      <c r="E600" t="s">
        <v>1823</v>
      </c>
      <c r="F600" s="2" t="s">
        <v>1821</v>
      </c>
      <c r="G600" t="s">
        <v>1824</v>
      </c>
      <c r="H600" t="s">
        <v>17</v>
      </c>
    </row>
    <row r="601" spans="1:8" ht="15" customHeight="1" x14ac:dyDescent="0.3">
      <c r="A601" t="s">
        <v>353</v>
      </c>
      <c r="B601">
        <v>523553</v>
      </c>
      <c r="C601" t="s">
        <v>404</v>
      </c>
      <c r="D601">
        <v>100911425</v>
      </c>
      <c r="E601" t="s">
        <v>1823</v>
      </c>
      <c r="F601" s="2" t="s">
        <v>1821</v>
      </c>
      <c r="G601" t="s">
        <v>1824</v>
      </c>
      <c r="H601" t="s">
        <v>17</v>
      </c>
    </row>
    <row r="602" spans="1:8" ht="15" customHeight="1" x14ac:dyDescent="0.3">
      <c r="A602" t="s">
        <v>794</v>
      </c>
      <c r="B602">
        <v>7502568</v>
      </c>
      <c r="C602" t="s">
        <v>798</v>
      </c>
      <c r="D602">
        <v>101377147</v>
      </c>
      <c r="E602" t="s">
        <v>1823</v>
      </c>
      <c r="F602" s="2" t="s">
        <v>1821</v>
      </c>
      <c r="G602" t="s">
        <v>1824</v>
      </c>
      <c r="H602" t="s">
        <v>17</v>
      </c>
    </row>
    <row r="603" spans="1:8" ht="15" customHeight="1" x14ac:dyDescent="0.3">
      <c r="A603" t="s">
        <v>893</v>
      </c>
      <c r="B603">
        <v>7426293</v>
      </c>
      <c r="C603" t="s">
        <v>892</v>
      </c>
      <c r="D603">
        <v>101216921</v>
      </c>
      <c r="E603" t="s">
        <v>1825</v>
      </c>
      <c r="F603" s="2" t="s">
        <v>1826</v>
      </c>
      <c r="G603" t="s">
        <v>1827</v>
      </c>
      <c r="H603" t="s">
        <v>17</v>
      </c>
    </row>
    <row r="604" spans="1:8" ht="15" customHeight="1" x14ac:dyDescent="0.3">
      <c r="A604" t="s">
        <v>893</v>
      </c>
      <c r="B604">
        <v>7426293</v>
      </c>
      <c r="C604" t="s">
        <v>896</v>
      </c>
      <c r="D604">
        <v>101189843</v>
      </c>
      <c r="E604" t="s">
        <v>1825</v>
      </c>
      <c r="F604" s="2" t="s">
        <v>1826</v>
      </c>
      <c r="G604" t="s">
        <v>1827</v>
      </c>
      <c r="H604" t="s">
        <v>17</v>
      </c>
    </row>
    <row r="605" spans="1:8" ht="15" customHeight="1" x14ac:dyDescent="0.3">
      <c r="A605" t="s">
        <v>928</v>
      </c>
      <c r="B605">
        <v>7426293</v>
      </c>
      <c r="C605" t="s">
        <v>927</v>
      </c>
      <c r="D605">
        <v>101400041</v>
      </c>
      <c r="E605" t="s">
        <v>1825</v>
      </c>
      <c r="F605" s="2" t="s">
        <v>1826</v>
      </c>
      <c r="G605" t="s">
        <v>1827</v>
      </c>
      <c r="H605" t="s">
        <v>17</v>
      </c>
    </row>
    <row r="606" spans="1:8" ht="15" customHeight="1" x14ac:dyDescent="0.3">
      <c r="A606" t="s">
        <v>893</v>
      </c>
      <c r="B606">
        <v>7426293</v>
      </c>
      <c r="C606" t="s">
        <v>898</v>
      </c>
      <c r="D606">
        <v>101216916</v>
      </c>
      <c r="E606" t="s">
        <v>1825</v>
      </c>
      <c r="F606" s="2" t="s">
        <v>1826</v>
      </c>
      <c r="G606" t="s">
        <v>1827</v>
      </c>
      <c r="H606" t="s">
        <v>17</v>
      </c>
    </row>
    <row r="607" spans="1:8" ht="15" customHeight="1" x14ac:dyDescent="0.3">
      <c r="A607" t="s">
        <v>893</v>
      </c>
      <c r="B607">
        <v>7426293</v>
      </c>
      <c r="C607" t="s">
        <v>901</v>
      </c>
      <c r="D607">
        <v>101252635</v>
      </c>
      <c r="E607" t="s">
        <v>1825</v>
      </c>
      <c r="F607" s="2" t="s">
        <v>1826</v>
      </c>
      <c r="G607" t="s">
        <v>1827</v>
      </c>
      <c r="H607" t="s">
        <v>17</v>
      </c>
    </row>
    <row r="608" spans="1:8" ht="15" customHeight="1" x14ac:dyDescent="0.3">
      <c r="A608" t="s">
        <v>893</v>
      </c>
      <c r="B608">
        <v>7426293</v>
      </c>
      <c r="C608" t="s">
        <v>902</v>
      </c>
      <c r="D608">
        <v>101252633</v>
      </c>
      <c r="E608" t="s">
        <v>1825</v>
      </c>
      <c r="F608" s="2" t="s">
        <v>1826</v>
      </c>
      <c r="G608" t="s">
        <v>1827</v>
      </c>
      <c r="H608" t="s">
        <v>17</v>
      </c>
    </row>
    <row r="609" spans="1:8" ht="15" customHeight="1" x14ac:dyDescent="0.3">
      <c r="A609" t="s">
        <v>928</v>
      </c>
      <c r="B609">
        <v>7426293</v>
      </c>
      <c r="C609" t="s">
        <v>929</v>
      </c>
      <c r="D609">
        <v>101400039</v>
      </c>
      <c r="E609" t="s">
        <v>1825</v>
      </c>
      <c r="F609" s="2" t="s">
        <v>1826</v>
      </c>
      <c r="G609" t="s">
        <v>1827</v>
      </c>
      <c r="H609" t="s">
        <v>17</v>
      </c>
    </row>
    <row r="610" spans="1:8" ht="15" customHeight="1" x14ac:dyDescent="0.3">
      <c r="A610" t="s">
        <v>928</v>
      </c>
      <c r="B610">
        <v>7426293</v>
      </c>
      <c r="C610" t="s">
        <v>930</v>
      </c>
      <c r="D610">
        <v>101400043</v>
      </c>
      <c r="E610" t="s">
        <v>1825</v>
      </c>
      <c r="F610" s="2" t="s">
        <v>1826</v>
      </c>
      <c r="G610" t="s">
        <v>1827</v>
      </c>
      <c r="H610" t="s">
        <v>17</v>
      </c>
    </row>
    <row r="611" spans="1:8" ht="15" customHeight="1" x14ac:dyDescent="0.3">
      <c r="A611" t="s">
        <v>893</v>
      </c>
      <c r="B611">
        <v>7426293</v>
      </c>
      <c r="C611" t="s">
        <v>903</v>
      </c>
      <c r="D611">
        <v>101216920</v>
      </c>
      <c r="E611" t="s">
        <v>1825</v>
      </c>
      <c r="F611" s="2" t="s">
        <v>1826</v>
      </c>
      <c r="G611" t="s">
        <v>1827</v>
      </c>
      <c r="H611" t="s">
        <v>17</v>
      </c>
    </row>
    <row r="612" spans="1:8" ht="15" customHeight="1" x14ac:dyDescent="0.3">
      <c r="A612" t="s">
        <v>928</v>
      </c>
      <c r="B612">
        <v>7426293</v>
      </c>
      <c r="C612" t="s">
        <v>931</v>
      </c>
      <c r="D612">
        <v>101400042</v>
      </c>
      <c r="E612" t="s">
        <v>1825</v>
      </c>
      <c r="F612" s="2" t="s">
        <v>1826</v>
      </c>
      <c r="G612" t="s">
        <v>1827</v>
      </c>
      <c r="H612" t="s">
        <v>17</v>
      </c>
    </row>
    <row r="613" spans="1:8" ht="15" customHeight="1" x14ac:dyDescent="0.3">
      <c r="A613" t="s">
        <v>893</v>
      </c>
      <c r="B613">
        <v>7426293</v>
      </c>
      <c r="C613" t="s">
        <v>905</v>
      </c>
      <c r="D613">
        <v>101023394</v>
      </c>
      <c r="E613" t="s">
        <v>1825</v>
      </c>
      <c r="F613" s="2" t="s">
        <v>1826</v>
      </c>
      <c r="G613" t="s">
        <v>1827</v>
      </c>
      <c r="H613" t="s">
        <v>17</v>
      </c>
    </row>
    <row r="614" spans="1:8" ht="15" customHeight="1" x14ac:dyDescent="0.3">
      <c r="A614" t="s">
        <v>893</v>
      </c>
      <c r="B614">
        <v>7426293</v>
      </c>
      <c r="C614" t="s">
        <v>908</v>
      </c>
      <c r="D614">
        <v>101216919</v>
      </c>
      <c r="E614" t="s">
        <v>1825</v>
      </c>
      <c r="F614" s="2" t="s">
        <v>1826</v>
      </c>
      <c r="G614" t="s">
        <v>1827</v>
      </c>
      <c r="H614" t="s">
        <v>17</v>
      </c>
    </row>
    <row r="615" spans="1:8" ht="15" customHeight="1" x14ac:dyDescent="0.3">
      <c r="A615" t="s">
        <v>893</v>
      </c>
      <c r="B615">
        <v>7426293</v>
      </c>
      <c r="C615" t="s">
        <v>910</v>
      </c>
      <c r="D615">
        <v>101216914</v>
      </c>
      <c r="E615" t="s">
        <v>1825</v>
      </c>
      <c r="F615" s="2" t="s">
        <v>1826</v>
      </c>
      <c r="G615" t="s">
        <v>1827</v>
      </c>
      <c r="H615" t="s">
        <v>17</v>
      </c>
    </row>
    <row r="616" spans="1:8" ht="15" customHeight="1" x14ac:dyDescent="0.3">
      <c r="A616" t="s">
        <v>933</v>
      </c>
      <c r="B616">
        <v>502003</v>
      </c>
      <c r="C616" t="s">
        <v>988</v>
      </c>
      <c r="D616">
        <v>101110819</v>
      </c>
      <c r="E616" t="s">
        <v>1828</v>
      </c>
      <c r="F616" s="2" t="s">
        <v>1821</v>
      </c>
      <c r="G616" t="s">
        <v>1829</v>
      </c>
      <c r="H616" t="s">
        <v>17</v>
      </c>
    </row>
    <row r="617" spans="1:8" ht="15" customHeight="1" x14ac:dyDescent="0.3">
      <c r="A617" t="s">
        <v>933</v>
      </c>
      <c r="B617">
        <v>502003</v>
      </c>
      <c r="C617" t="s">
        <v>992</v>
      </c>
      <c r="D617">
        <v>101009847</v>
      </c>
      <c r="E617" t="s">
        <v>1830</v>
      </c>
      <c r="F617" s="2" t="s">
        <v>1821</v>
      </c>
      <c r="H617" t="s">
        <v>17</v>
      </c>
    </row>
    <row r="618" spans="1:8" ht="15" customHeight="1" x14ac:dyDescent="0.3">
      <c r="A618" t="s">
        <v>933</v>
      </c>
      <c r="B618">
        <v>502003</v>
      </c>
      <c r="C618" t="s">
        <v>1005</v>
      </c>
      <c r="D618">
        <v>101017141</v>
      </c>
      <c r="E618" t="s">
        <v>1830</v>
      </c>
      <c r="F618" s="2" t="s">
        <v>1821</v>
      </c>
      <c r="H618" t="s">
        <v>17</v>
      </c>
    </row>
    <row r="619" spans="1:8" ht="15" customHeight="1" x14ac:dyDescent="0.3">
      <c r="A619" t="s">
        <v>933</v>
      </c>
      <c r="B619">
        <v>502003</v>
      </c>
      <c r="C619" t="s">
        <v>1020</v>
      </c>
      <c r="D619">
        <v>101211814</v>
      </c>
      <c r="E619" t="s">
        <v>1830</v>
      </c>
      <c r="F619" s="2" t="s">
        <v>1821</v>
      </c>
      <c r="H619" t="s">
        <v>17</v>
      </c>
    </row>
    <row r="620" spans="1:8" ht="15" customHeight="1" x14ac:dyDescent="0.3">
      <c r="A620" t="s">
        <v>933</v>
      </c>
      <c r="B620">
        <v>502003</v>
      </c>
      <c r="C620" t="s">
        <v>1022</v>
      </c>
      <c r="D620">
        <v>101226710</v>
      </c>
      <c r="E620" t="s">
        <v>1830</v>
      </c>
      <c r="F620" s="2" t="s">
        <v>1821</v>
      </c>
      <c r="H620" t="s">
        <v>17</v>
      </c>
    </row>
    <row r="621" spans="1:8" ht="15" customHeight="1" x14ac:dyDescent="0.3">
      <c r="A621" s="9" t="s">
        <v>55</v>
      </c>
      <c r="B621" s="9">
        <v>7461854</v>
      </c>
      <c r="C621" s="9" t="s">
        <v>54</v>
      </c>
      <c r="D621" s="9">
        <v>101252641</v>
      </c>
      <c r="E621" s="9" t="s">
        <v>1831</v>
      </c>
      <c r="F621" s="11" t="s">
        <v>1832</v>
      </c>
      <c r="G621" s="9" t="s">
        <v>1833</v>
      </c>
      <c r="H621" t="s">
        <v>17</v>
      </c>
    </row>
    <row r="622" spans="1:8" ht="15" customHeight="1" x14ac:dyDescent="0.3">
      <c r="A622" s="9" t="s">
        <v>55</v>
      </c>
      <c r="B622" s="9">
        <v>7461854</v>
      </c>
      <c r="C622" s="9" t="s">
        <v>65</v>
      </c>
      <c r="D622" s="9">
        <v>101189848</v>
      </c>
      <c r="E622" s="9" t="s">
        <v>1831</v>
      </c>
      <c r="F622" s="11" t="s">
        <v>1832</v>
      </c>
      <c r="G622" s="9" t="s">
        <v>1833</v>
      </c>
      <c r="H622" t="s">
        <v>17</v>
      </c>
    </row>
    <row r="623" spans="1:8" ht="15" customHeight="1" x14ac:dyDescent="0.3">
      <c r="A623" s="9" t="s">
        <v>55</v>
      </c>
      <c r="B623" s="9">
        <v>7461854</v>
      </c>
      <c r="C623" s="9" t="s">
        <v>66</v>
      </c>
      <c r="D623" s="9">
        <v>101244634</v>
      </c>
      <c r="E623" s="9" t="s">
        <v>1831</v>
      </c>
      <c r="F623" s="11" t="s">
        <v>1832</v>
      </c>
      <c r="G623" s="9" t="s">
        <v>1833</v>
      </c>
      <c r="H623" t="s">
        <v>17</v>
      </c>
    </row>
    <row r="624" spans="1:8" ht="15" customHeight="1" x14ac:dyDescent="0.3">
      <c r="A624" s="9" t="s">
        <v>22</v>
      </c>
      <c r="B624" s="9">
        <v>0</v>
      </c>
      <c r="C624" s="9" t="s">
        <v>21</v>
      </c>
      <c r="D624" s="9">
        <v>101216950</v>
      </c>
      <c r="E624" s="9" t="s">
        <v>1834</v>
      </c>
      <c r="F624" s="11" t="s">
        <v>1835</v>
      </c>
      <c r="G624" s="9"/>
      <c r="H624" t="s">
        <v>17</v>
      </c>
    </row>
    <row r="625" spans="1:8" ht="15" customHeight="1" x14ac:dyDescent="0.3">
      <c r="A625" s="9" t="s">
        <v>117</v>
      </c>
      <c r="B625" s="9">
        <v>7496107</v>
      </c>
      <c r="C625" s="9" t="s">
        <v>1057</v>
      </c>
      <c r="D625" s="9">
        <v>101401288</v>
      </c>
      <c r="E625" s="9" t="s">
        <v>1836</v>
      </c>
      <c r="F625" s="11" t="s">
        <v>1837</v>
      </c>
      <c r="G625" s="9"/>
      <c r="H625" t="s">
        <v>17</v>
      </c>
    </row>
    <row r="626" spans="1:8" ht="15" customHeight="1" x14ac:dyDescent="0.3">
      <c r="A626" s="9" t="s">
        <v>117</v>
      </c>
      <c r="B626" s="9">
        <v>7496107</v>
      </c>
      <c r="C626" s="9" t="s">
        <v>1062</v>
      </c>
      <c r="D626" s="9">
        <v>101401289</v>
      </c>
      <c r="E626" s="9" t="s">
        <v>1836</v>
      </c>
      <c r="F626" s="11" t="s">
        <v>1837</v>
      </c>
      <c r="G626" s="9"/>
      <c r="H626" t="s">
        <v>17</v>
      </c>
    </row>
    <row r="627" spans="1:8" ht="15" customHeight="1" x14ac:dyDescent="0.3">
      <c r="A627" s="9" t="s">
        <v>917</v>
      </c>
      <c r="B627" s="9" t="s">
        <v>918</v>
      </c>
      <c r="C627" s="9" t="s">
        <v>916</v>
      </c>
      <c r="D627" s="9">
        <v>101400049</v>
      </c>
      <c r="E627" s="9" t="s">
        <v>1838</v>
      </c>
      <c r="F627" s="11" t="s">
        <v>1826</v>
      </c>
      <c r="G627" s="9"/>
      <c r="H627" t="s">
        <v>17</v>
      </c>
    </row>
    <row r="628" spans="1:8" ht="15" customHeight="1" x14ac:dyDescent="0.3">
      <c r="A628" s="9" t="s">
        <v>917</v>
      </c>
      <c r="B628" s="9" t="s">
        <v>918</v>
      </c>
      <c r="C628" s="9" t="s">
        <v>920</v>
      </c>
      <c r="D628" s="9">
        <v>101400046</v>
      </c>
      <c r="E628" s="9" t="s">
        <v>1838</v>
      </c>
      <c r="F628" s="11" t="s">
        <v>1826</v>
      </c>
      <c r="G628" s="9"/>
      <c r="H628" t="s">
        <v>17</v>
      </c>
    </row>
    <row r="629" spans="1:8" ht="15" customHeight="1" x14ac:dyDescent="0.3">
      <c r="A629" s="9" t="s">
        <v>917</v>
      </c>
      <c r="B629" s="9" t="s">
        <v>918</v>
      </c>
      <c r="C629" s="9" t="s">
        <v>923</v>
      </c>
      <c r="D629" s="9">
        <v>101400038</v>
      </c>
      <c r="E629" s="9" t="s">
        <v>1838</v>
      </c>
      <c r="F629" s="11" t="s">
        <v>1826</v>
      </c>
      <c r="G629" s="9"/>
      <c r="H629" t="s">
        <v>17</v>
      </c>
    </row>
    <row r="630" spans="1:8" ht="15" customHeight="1" x14ac:dyDescent="0.3">
      <c r="A630" s="9" t="s">
        <v>917</v>
      </c>
      <c r="B630" s="9" t="s">
        <v>918</v>
      </c>
      <c r="C630" s="9" t="s">
        <v>925</v>
      </c>
      <c r="D630" s="9">
        <v>101400052</v>
      </c>
      <c r="E630" s="9" t="s">
        <v>1838</v>
      </c>
      <c r="F630" s="11" t="s">
        <v>1826</v>
      </c>
      <c r="G630" s="9"/>
      <c r="H630" t="s">
        <v>17</v>
      </c>
    </row>
    <row r="631" spans="1:8" ht="15" customHeight="1" x14ac:dyDescent="0.3">
      <c r="A631" s="9" t="s">
        <v>933</v>
      </c>
      <c r="B631" s="9">
        <v>502003</v>
      </c>
      <c r="C631" s="9" t="s">
        <v>1022</v>
      </c>
      <c r="D631" s="9">
        <v>101226710</v>
      </c>
      <c r="E631" s="9" t="s">
        <v>1839</v>
      </c>
      <c r="F631" s="11" t="s">
        <v>1840</v>
      </c>
      <c r="G631" s="9" t="s">
        <v>1841</v>
      </c>
      <c r="H631" t="s">
        <v>17</v>
      </c>
    </row>
    <row r="632" spans="1:8" ht="15" customHeight="1" x14ac:dyDescent="0.3">
      <c r="A632" s="9" t="s">
        <v>933</v>
      </c>
      <c r="B632" s="9">
        <v>502003</v>
      </c>
      <c r="C632" s="9" t="s">
        <v>1022</v>
      </c>
      <c r="D632" s="9">
        <v>101226710</v>
      </c>
      <c r="E632" s="9" t="s">
        <v>1839</v>
      </c>
      <c r="F632" s="11" t="s">
        <v>1842</v>
      </c>
      <c r="G632" s="9" t="s">
        <v>1841</v>
      </c>
      <c r="H632" t="s">
        <v>17</v>
      </c>
    </row>
    <row r="633" spans="1:8" ht="15" customHeight="1" x14ac:dyDescent="0.3">
      <c r="A633" s="9" t="s">
        <v>933</v>
      </c>
      <c r="B633" s="9">
        <v>502003</v>
      </c>
      <c r="C633" s="9" t="s">
        <v>1022</v>
      </c>
      <c r="D633" s="9">
        <v>101226710</v>
      </c>
      <c r="E633" s="9" t="s">
        <v>1839</v>
      </c>
      <c r="F633" s="11" t="s">
        <v>1843</v>
      </c>
      <c r="G633" s="9" t="s">
        <v>1841</v>
      </c>
      <c r="H633" t="s">
        <v>17</v>
      </c>
    </row>
    <row r="634" spans="1:8" ht="15" customHeight="1" x14ac:dyDescent="0.3">
      <c r="A634" s="9" t="s">
        <v>933</v>
      </c>
      <c r="B634" s="9">
        <v>502003</v>
      </c>
      <c r="C634" s="9" t="s">
        <v>1022</v>
      </c>
      <c r="D634" s="9">
        <v>101226710</v>
      </c>
      <c r="E634" s="9" t="s">
        <v>1839</v>
      </c>
      <c r="F634" s="11" t="s">
        <v>1844</v>
      </c>
      <c r="G634" s="9" t="s">
        <v>1841</v>
      </c>
      <c r="H634" t="s">
        <v>17</v>
      </c>
    </row>
    <row r="635" spans="1:8" ht="15" customHeight="1" x14ac:dyDescent="0.3">
      <c r="A635" s="9" t="s">
        <v>933</v>
      </c>
      <c r="B635" s="9">
        <v>502003</v>
      </c>
      <c r="C635" s="9" t="s">
        <v>1022</v>
      </c>
      <c r="D635" s="9">
        <v>101226710</v>
      </c>
      <c r="E635" s="9" t="s">
        <v>1839</v>
      </c>
      <c r="F635" s="11" t="s">
        <v>1845</v>
      </c>
      <c r="G635" s="9" t="s">
        <v>1841</v>
      </c>
      <c r="H635" t="s">
        <v>17</v>
      </c>
    </row>
    <row r="636" spans="1:8" ht="15" customHeight="1" x14ac:dyDescent="0.3">
      <c r="A636" s="9" t="s">
        <v>893</v>
      </c>
      <c r="B636" s="9">
        <v>7426293</v>
      </c>
      <c r="C636" s="9" t="s">
        <v>1064</v>
      </c>
      <c r="D636" s="9">
        <v>101407112</v>
      </c>
      <c r="E636" s="9" t="s">
        <v>1846</v>
      </c>
      <c r="F636" s="11" t="s">
        <v>1840</v>
      </c>
      <c r="G636" s="9" t="s">
        <v>1847</v>
      </c>
      <c r="H636" t="s">
        <v>17</v>
      </c>
    </row>
    <row r="637" spans="1:8" ht="15" customHeight="1" x14ac:dyDescent="0.3">
      <c r="A637" s="9" t="s">
        <v>122</v>
      </c>
      <c r="B637" s="9">
        <v>7438426</v>
      </c>
      <c r="C637" s="9" t="s">
        <v>1752</v>
      </c>
      <c r="D637" s="9">
        <v>101334295</v>
      </c>
      <c r="E637" s="9" t="s">
        <v>1848</v>
      </c>
      <c r="F637" s="11" t="s">
        <v>1849</v>
      </c>
      <c r="G637" s="9" t="s">
        <v>1850</v>
      </c>
      <c r="H637" t="s">
        <v>17</v>
      </c>
    </row>
    <row r="638" spans="1:8" ht="15" customHeight="1" x14ac:dyDescent="0.3">
      <c r="A638" s="9" t="s">
        <v>122</v>
      </c>
      <c r="B638" s="9">
        <v>7438426</v>
      </c>
      <c r="C638" s="9" t="s">
        <v>1752</v>
      </c>
      <c r="D638" s="9">
        <v>101334295</v>
      </c>
      <c r="E638" s="9" t="s">
        <v>1848</v>
      </c>
      <c r="F638" s="11" t="s">
        <v>1851</v>
      </c>
      <c r="G638" s="9" t="s">
        <v>1852</v>
      </c>
      <c r="H638" t="s">
        <v>17</v>
      </c>
    </row>
    <row r="639" spans="1:8" ht="15" customHeight="1" x14ac:dyDescent="0.3">
      <c r="A639" s="9" t="s">
        <v>407</v>
      </c>
      <c r="B639" s="9">
        <v>7439496</v>
      </c>
      <c r="C639" s="9" t="s">
        <v>424</v>
      </c>
      <c r="D639" s="9">
        <v>101264894</v>
      </c>
      <c r="E639" s="9" t="s">
        <v>1853</v>
      </c>
      <c r="F639" s="11" t="s">
        <v>1854</v>
      </c>
      <c r="G639" s="9" t="s">
        <v>1855</v>
      </c>
      <c r="H639" t="s">
        <v>17</v>
      </c>
    </row>
    <row r="640" spans="1:8" ht="15" customHeight="1" x14ac:dyDescent="0.3">
      <c r="A640" s="9" t="s">
        <v>407</v>
      </c>
      <c r="B640" s="9">
        <v>7439496</v>
      </c>
      <c r="C640" s="9" t="s">
        <v>1856</v>
      </c>
      <c r="D640" s="9">
        <v>101266280</v>
      </c>
      <c r="E640" s="9" t="s">
        <v>1853</v>
      </c>
      <c r="F640" s="11" t="s">
        <v>1854</v>
      </c>
      <c r="G640" s="9" t="s">
        <v>1855</v>
      </c>
      <c r="H640" t="s">
        <v>17</v>
      </c>
    </row>
    <row r="641" spans="1:8" ht="15" customHeight="1" x14ac:dyDescent="0.3">
      <c r="A641" s="9" t="s">
        <v>407</v>
      </c>
      <c r="B641" s="9">
        <v>7439496</v>
      </c>
      <c r="C641" s="9" t="s">
        <v>1857</v>
      </c>
      <c r="D641" s="9">
        <v>101290014</v>
      </c>
      <c r="E641" s="9" t="s">
        <v>1853</v>
      </c>
      <c r="F641" s="11" t="s">
        <v>1854</v>
      </c>
      <c r="G641" s="9" t="s">
        <v>1855</v>
      </c>
      <c r="H641" t="s">
        <v>17</v>
      </c>
    </row>
    <row r="642" spans="1:8" ht="15" customHeight="1" x14ac:dyDescent="0.3">
      <c r="A642" s="9" t="s">
        <v>832</v>
      </c>
      <c r="B642" s="9">
        <v>7439496</v>
      </c>
      <c r="C642" s="9" t="s">
        <v>1858</v>
      </c>
      <c r="D642" s="9">
        <v>101413754</v>
      </c>
      <c r="E642" s="9" t="s">
        <v>1853</v>
      </c>
      <c r="F642" s="11" t="s">
        <v>1854</v>
      </c>
      <c r="G642" s="9" t="s">
        <v>1855</v>
      </c>
      <c r="H642" t="s">
        <v>17</v>
      </c>
    </row>
    <row r="643" spans="1:8" ht="15" customHeight="1" x14ac:dyDescent="0.3">
      <c r="A643" s="9" t="s">
        <v>407</v>
      </c>
      <c r="B643" s="9">
        <v>7439496</v>
      </c>
      <c r="C643" s="9" t="s">
        <v>1859</v>
      </c>
      <c r="D643" s="9">
        <v>101352954</v>
      </c>
      <c r="E643" s="9" t="s">
        <v>1853</v>
      </c>
      <c r="F643" s="11" t="s">
        <v>1854</v>
      </c>
      <c r="G643" s="9" t="s">
        <v>1855</v>
      </c>
      <c r="H643" t="s">
        <v>17</v>
      </c>
    </row>
    <row r="644" spans="1:8" ht="15" customHeight="1" x14ac:dyDescent="0.3">
      <c r="A644" s="9" t="s">
        <v>109</v>
      </c>
      <c r="B644" s="9">
        <v>7494139</v>
      </c>
      <c r="C644" s="9" t="s">
        <v>1860</v>
      </c>
      <c r="D644" s="9">
        <v>101342619</v>
      </c>
      <c r="E644" s="9" t="s">
        <v>1861</v>
      </c>
      <c r="F644" s="11" t="s">
        <v>1862</v>
      </c>
      <c r="G644" s="9" t="s">
        <v>1863</v>
      </c>
      <c r="H644" t="s">
        <v>17</v>
      </c>
    </row>
    <row r="645" spans="1:8" ht="15" customHeight="1" x14ac:dyDescent="0.3">
      <c r="A645" s="9" t="s">
        <v>109</v>
      </c>
      <c r="B645" s="9">
        <v>7494139</v>
      </c>
      <c r="C645" s="9" t="s">
        <v>1864</v>
      </c>
      <c r="D645" s="9">
        <v>101403124</v>
      </c>
      <c r="E645" s="9" t="s">
        <v>1861</v>
      </c>
      <c r="F645" s="11" t="s">
        <v>1862</v>
      </c>
      <c r="G645" s="9" t="s">
        <v>1863</v>
      </c>
      <c r="H645" t="s">
        <v>17</v>
      </c>
    </row>
    <row r="646" spans="1:8" ht="15" customHeight="1" x14ac:dyDescent="0.3">
      <c r="A646" s="9" t="s">
        <v>345</v>
      </c>
      <c r="B646" s="9">
        <v>7500610</v>
      </c>
      <c r="C646" s="9" t="s">
        <v>1865</v>
      </c>
      <c r="D646" s="9">
        <v>101381844</v>
      </c>
      <c r="E646" s="9" t="s">
        <v>1632</v>
      </c>
      <c r="F646" s="11" t="s">
        <v>1866</v>
      </c>
      <c r="G646" s="9" t="s">
        <v>1867</v>
      </c>
      <c r="H646" t="s">
        <v>17</v>
      </c>
    </row>
    <row r="647" spans="1:8" ht="15" customHeight="1" x14ac:dyDescent="0.3">
      <c r="A647" s="9" t="s">
        <v>345</v>
      </c>
      <c r="B647" s="9">
        <v>7500610</v>
      </c>
      <c r="C647" s="9" t="s">
        <v>1868</v>
      </c>
      <c r="D647" s="9">
        <v>101381830</v>
      </c>
      <c r="E647" s="9" t="s">
        <v>1632</v>
      </c>
      <c r="F647" s="11" t="s">
        <v>1866</v>
      </c>
      <c r="G647" s="9" t="s">
        <v>1867</v>
      </c>
      <c r="H647" t="s">
        <v>17</v>
      </c>
    </row>
    <row r="648" spans="1:8" ht="15" customHeight="1" x14ac:dyDescent="0.3">
      <c r="A648" s="9" t="s">
        <v>345</v>
      </c>
      <c r="B648" s="9">
        <v>7500610</v>
      </c>
      <c r="C648" s="9" t="s">
        <v>1869</v>
      </c>
      <c r="D648" s="9">
        <v>101381829</v>
      </c>
      <c r="E648" s="9" t="s">
        <v>1632</v>
      </c>
      <c r="F648" s="11" t="s">
        <v>1866</v>
      </c>
      <c r="G648" s="9" t="s">
        <v>1867</v>
      </c>
      <c r="H648" t="s">
        <v>17</v>
      </c>
    </row>
    <row r="649" spans="1:8" ht="15" customHeight="1" x14ac:dyDescent="0.3">
      <c r="A649" s="9" t="s">
        <v>24</v>
      </c>
      <c r="B649" s="9">
        <v>532861</v>
      </c>
      <c r="C649" s="9" t="s">
        <v>1652</v>
      </c>
      <c r="D649" s="9">
        <v>100922948</v>
      </c>
      <c r="E649" s="9" t="s">
        <v>1870</v>
      </c>
      <c r="F649" s="11" t="s">
        <v>1871</v>
      </c>
      <c r="G649" s="9" t="s">
        <v>1872</v>
      </c>
      <c r="H649" t="s">
        <v>17</v>
      </c>
    </row>
    <row r="650" spans="1:8" ht="15" customHeight="1" x14ac:dyDescent="0.3">
      <c r="A650" s="9" t="s">
        <v>407</v>
      </c>
      <c r="B650" s="9">
        <v>7439496</v>
      </c>
      <c r="C650" s="9" t="s">
        <v>424</v>
      </c>
      <c r="D650" s="9">
        <v>101264894</v>
      </c>
      <c r="E650" s="9" t="s">
        <v>1873</v>
      </c>
      <c r="F650" s="11" t="s">
        <v>1851</v>
      </c>
      <c r="G650" s="9" t="s">
        <v>1874</v>
      </c>
      <c r="H650" t="s">
        <v>17</v>
      </c>
    </row>
    <row r="651" spans="1:8" ht="15" customHeight="1" x14ac:dyDescent="0.3">
      <c r="A651" s="9" t="s">
        <v>1070</v>
      </c>
      <c r="B651" s="9">
        <v>519831</v>
      </c>
      <c r="C651" s="9" t="s">
        <v>1875</v>
      </c>
      <c r="D651" s="9">
        <v>101413756</v>
      </c>
      <c r="E651" s="9" t="s">
        <v>1873</v>
      </c>
      <c r="F651" s="11" t="s">
        <v>1851</v>
      </c>
      <c r="G651" s="9" t="s">
        <v>1874</v>
      </c>
      <c r="H651" t="s">
        <v>17</v>
      </c>
    </row>
    <row r="652" spans="1:8" ht="15" customHeight="1" x14ac:dyDescent="0.3">
      <c r="A652" s="9" t="s">
        <v>893</v>
      </c>
      <c r="B652" s="9">
        <v>7426293</v>
      </c>
      <c r="C652" s="9" t="s">
        <v>1876</v>
      </c>
      <c r="D652" s="9">
        <v>101216914</v>
      </c>
      <c r="E652" s="9" t="s">
        <v>1475</v>
      </c>
      <c r="F652" s="11" t="s">
        <v>1854</v>
      </c>
      <c r="G652" s="9" t="s">
        <v>1877</v>
      </c>
      <c r="H652" t="s">
        <v>17</v>
      </c>
    </row>
    <row r="653" spans="1:8" ht="15" customHeight="1" x14ac:dyDescent="0.3">
      <c r="A653" s="9" t="s">
        <v>933</v>
      </c>
      <c r="B653" s="9">
        <v>502003</v>
      </c>
      <c r="C653" s="9" t="s">
        <v>1878</v>
      </c>
      <c r="D653" s="9">
        <v>101226710</v>
      </c>
      <c r="E653" s="9" t="s">
        <v>1879</v>
      </c>
      <c r="F653" s="11" t="s">
        <v>1862</v>
      </c>
      <c r="G653" s="9" t="s">
        <v>1880</v>
      </c>
      <c r="H653" t="s">
        <v>17</v>
      </c>
    </row>
    <row r="654" spans="1:8" ht="15" customHeight="1" x14ac:dyDescent="0.3">
      <c r="A654" s="9" t="s">
        <v>122</v>
      </c>
      <c r="B654" s="9">
        <v>7438426</v>
      </c>
      <c r="C654" s="9" t="s">
        <v>1752</v>
      </c>
      <c r="D654" s="9">
        <v>101334295</v>
      </c>
      <c r="E654" s="9" t="s">
        <v>1881</v>
      </c>
      <c r="F654" s="11" t="s">
        <v>1882</v>
      </c>
      <c r="G654" s="9" t="s">
        <v>1883</v>
      </c>
      <c r="H654" t="s">
        <v>17</v>
      </c>
    </row>
    <row r="655" spans="1:8" ht="15" customHeight="1" x14ac:dyDescent="0.3">
      <c r="A655" s="9" t="s">
        <v>122</v>
      </c>
      <c r="B655" s="9">
        <v>7438426</v>
      </c>
      <c r="C655" s="9" t="s">
        <v>1752</v>
      </c>
      <c r="D655" s="9">
        <v>101334295</v>
      </c>
      <c r="E655" s="9" t="s">
        <v>1884</v>
      </c>
      <c r="F655" s="11" t="s">
        <v>1885</v>
      </c>
      <c r="G655" s="9" t="s">
        <v>1886</v>
      </c>
      <c r="H655" t="s">
        <v>17</v>
      </c>
    </row>
    <row r="656" spans="1:8" ht="15" customHeight="1" x14ac:dyDescent="0.3">
      <c r="A656" s="9" t="s">
        <v>109</v>
      </c>
      <c r="B656" s="9">
        <v>7494139</v>
      </c>
      <c r="C656" s="9" t="s">
        <v>1864</v>
      </c>
      <c r="D656" s="9">
        <v>101403124</v>
      </c>
      <c r="E656" s="9" t="s">
        <v>1887</v>
      </c>
      <c r="F656" s="11" t="s">
        <v>1888</v>
      </c>
      <c r="G656" s="9" t="s">
        <v>1889</v>
      </c>
      <c r="H656" t="s">
        <v>17</v>
      </c>
    </row>
    <row r="657" spans="1:8" ht="15" customHeight="1" x14ac:dyDescent="0.3">
      <c r="A657" s="9" t="s">
        <v>24</v>
      </c>
      <c r="B657" s="9">
        <v>532951</v>
      </c>
      <c r="C657" s="9" t="s">
        <v>1664</v>
      </c>
      <c r="D657" s="9">
        <v>101314850</v>
      </c>
      <c r="E657" s="9" t="s">
        <v>1890</v>
      </c>
      <c r="F657" s="11" t="s">
        <v>1891</v>
      </c>
      <c r="G657" s="9" t="s">
        <v>1892</v>
      </c>
      <c r="H657" t="s">
        <v>17</v>
      </c>
    </row>
    <row r="658" spans="1:8" ht="15" customHeight="1" x14ac:dyDescent="0.3">
      <c r="A658" s="9" t="s">
        <v>1073</v>
      </c>
      <c r="B658" s="9">
        <v>110003378</v>
      </c>
      <c r="C658" s="9" t="s">
        <v>1072</v>
      </c>
      <c r="D658" s="9">
        <v>101413760</v>
      </c>
      <c r="E658" s="9" t="s">
        <v>1893</v>
      </c>
      <c r="F658" s="11" t="s">
        <v>1894</v>
      </c>
      <c r="G658" s="9" t="s">
        <v>1895</v>
      </c>
      <c r="H658" t="s">
        <v>17</v>
      </c>
    </row>
    <row r="659" spans="1:8" ht="15" customHeight="1" x14ac:dyDescent="0.3">
      <c r="A659" s="9" t="s">
        <v>1073</v>
      </c>
      <c r="B659" s="9">
        <v>110003378</v>
      </c>
      <c r="C659" s="9" t="s">
        <v>1076</v>
      </c>
      <c r="D659" s="9">
        <v>101413761</v>
      </c>
      <c r="E659" s="9" t="s">
        <v>1893</v>
      </c>
      <c r="F659" s="11" t="s">
        <v>1894</v>
      </c>
      <c r="G659" s="9" t="s">
        <v>1895</v>
      </c>
      <c r="H659" t="s">
        <v>17</v>
      </c>
    </row>
    <row r="660" spans="1:8" ht="15" customHeight="1" x14ac:dyDescent="0.3">
      <c r="A660" s="9" t="s">
        <v>1073</v>
      </c>
      <c r="B660" s="9">
        <v>110003378</v>
      </c>
      <c r="C660" s="9" t="s">
        <v>1078</v>
      </c>
      <c r="D660" s="9">
        <v>101413759</v>
      </c>
      <c r="E660" s="9" t="s">
        <v>1893</v>
      </c>
      <c r="F660" s="11" t="s">
        <v>1894</v>
      </c>
      <c r="G660" s="9" t="s">
        <v>1895</v>
      </c>
      <c r="H660" t="s">
        <v>17</v>
      </c>
    </row>
    <row r="661" spans="1:8" ht="15" customHeight="1" x14ac:dyDescent="0.3">
      <c r="A661" s="9" t="s">
        <v>1073</v>
      </c>
      <c r="B661" s="9">
        <v>110003378</v>
      </c>
      <c r="C661" s="9" t="s">
        <v>1080</v>
      </c>
      <c r="D661" s="9">
        <v>101413758</v>
      </c>
      <c r="E661" s="9" t="s">
        <v>1893</v>
      </c>
      <c r="F661" s="11" t="s">
        <v>1894</v>
      </c>
      <c r="G661" s="9" t="s">
        <v>1895</v>
      </c>
      <c r="H661" t="s">
        <v>17</v>
      </c>
    </row>
    <row r="662" spans="1:8" ht="15" customHeight="1" x14ac:dyDescent="0.3">
      <c r="A662" s="9" t="s">
        <v>933</v>
      </c>
      <c r="B662" s="9">
        <v>502003</v>
      </c>
      <c r="C662" s="9" t="s">
        <v>1878</v>
      </c>
      <c r="D662" s="9">
        <v>101226710</v>
      </c>
      <c r="E662" s="9" t="s">
        <v>1879</v>
      </c>
      <c r="F662" s="11" t="s">
        <v>1896</v>
      </c>
      <c r="G662" s="9" t="s">
        <v>1880</v>
      </c>
      <c r="H662" t="s">
        <v>17</v>
      </c>
    </row>
    <row r="663" spans="1:8" ht="15" customHeight="1" x14ac:dyDescent="0.3">
      <c r="A663" s="9" t="s">
        <v>22</v>
      </c>
      <c r="B663" s="9">
        <v>0</v>
      </c>
      <c r="C663" s="9" t="s">
        <v>1790</v>
      </c>
      <c r="D663" s="9">
        <v>101216950</v>
      </c>
      <c r="E663" s="9" t="s">
        <v>1897</v>
      </c>
      <c r="F663" s="11" t="s">
        <v>1898</v>
      </c>
      <c r="G663" s="9"/>
      <c r="H663" t="s">
        <v>17</v>
      </c>
    </row>
    <row r="664" spans="1:8" ht="15" customHeight="1" x14ac:dyDescent="0.3">
      <c r="A664" s="9" t="s">
        <v>109</v>
      </c>
      <c r="B664" s="9">
        <v>7494139</v>
      </c>
      <c r="C664" s="9" t="s">
        <v>1864</v>
      </c>
      <c r="D664" s="9">
        <v>101403124</v>
      </c>
      <c r="E664" s="9" t="s">
        <v>1899</v>
      </c>
      <c r="F664" s="11" t="s">
        <v>1898</v>
      </c>
      <c r="G664" s="9" t="s">
        <v>1900</v>
      </c>
      <c r="H664" t="s">
        <v>17</v>
      </c>
    </row>
    <row r="665" spans="1:8" ht="15" customHeight="1" x14ac:dyDescent="0.3">
      <c r="A665" s="9" t="s">
        <v>24</v>
      </c>
      <c r="B665" s="9">
        <v>532951</v>
      </c>
      <c r="C665" s="9" t="s">
        <v>1664</v>
      </c>
      <c r="D665" s="9">
        <v>101314850</v>
      </c>
      <c r="E665" s="9" t="s">
        <v>1901</v>
      </c>
      <c r="F665" s="11" t="s">
        <v>1898</v>
      </c>
      <c r="G665" s="9" t="s">
        <v>1902</v>
      </c>
      <c r="H665" t="s">
        <v>17</v>
      </c>
    </row>
    <row r="666" spans="1:8" ht="15" customHeight="1" x14ac:dyDescent="0.3">
      <c r="A666" s="9" t="s">
        <v>24</v>
      </c>
      <c r="B666" s="9">
        <v>532861</v>
      </c>
      <c r="C666" s="9" t="s">
        <v>1652</v>
      </c>
      <c r="D666" s="9">
        <v>100922948</v>
      </c>
      <c r="E666" s="9" t="s">
        <v>1903</v>
      </c>
      <c r="F666" s="11" t="s">
        <v>1904</v>
      </c>
      <c r="G666" s="9"/>
      <c r="H666" t="s">
        <v>17</v>
      </c>
    </row>
    <row r="667" spans="1:8" ht="15" customHeight="1" x14ac:dyDescent="0.3">
      <c r="A667" s="9" t="s">
        <v>122</v>
      </c>
      <c r="B667" s="9">
        <v>7438426</v>
      </c>
      <c r="C667" s="9" t="s">
        <v>1752</v>
      </c>
      <c r="D667" s="9">
        <v>101334295</v>
      </c>
      <c r="E667" s="9" t="s">
        <v>1905</v>
      </c>
      <c r="F667" s="11" t="s">
        <v>1871</v>
      </c>
      <c r="G667" s="9"/>
      <c r="H667" t="s">
        <v>17</v>
      </c>
    </row>
    <row r="668" spans="1:8" ht="15" customHeight="1" x14ac:dyDescent="0.3">
      <c r="A668" s="9" t="s">
        <v>933</v>
      </c>
      <c r="B668" s="9">
        <v>502003</v>
      </c>
      <c r="C668" s="9" t="s">
        <v>1906</v>
      </c>
      <c r="D668" s="9">
        <v>101009847</v>
      </c>
      <c r="E668" s="9" t="s">
        <v>1907</v>
      </c>
      <c r="F668" s="11" t="s">
        <v>1908</v>
      </c>
      <c r="G668" s="9"/>
      <c r="H668" t="s">
        <v>17</v>
      </c>
    </row>
    <row r="669" spans="1:8" ht="15" customHeight="1" x14ac:dyDescent="0.3">
      <c r="A669" s="9" t="s">
        <v>122</v>
      </c>
      <c r="B669" s="9">
        <v>7438426</v>
      </c>
      <c r="C669" s="9" t="s">
        <v>1909</v>
      </c>
      <c r="D669" s="9">
        <v>101335079</v>
      </c>
      <c r="E669" s="9" t="s">
        <v>1910</v>
      </c>
      <c r="F669" s="11" t="s">
        <v>1911</v>
      </c>
      <c r="G669" s="9"/>
      <c r="H669" t="s">
        <v>17</v>
      </c>
    </row>
    <row r="670" spans="1:8" ht="15" customHeight="1" x14ac:dyDescent="0.3">
      <c r="A670" s="9" t="s">
        <v>122</v>
      </c>
      <c r="B670" s="9">
        <v>7438426</v>
      </c>
      <c r="C670" s="9" t="s">
        <v>280</v>
      </c>
      <c r="D670" s="9">
        <v>101335079</v>
      </c>
      <c r="E670" s="9" t="s">
        <v>1912</v>
      </c>
      <c r="F670" s="11" t="s">
        <v>1913</v>
      </c>
      <c r="G670" s="9" t="s">
        <v>1914</v>
      </c>
      <c r="H670" t="s">
        <v>17</v>
      </c>
    </row>
    <row r="671" spans="1:8" ht="15" customHeight="1" x14ac:dyDescent="0.3">
      <c r="A671" s="9" t="s">
        <v>122</v>
      </c>
      <c r="B671" s="9">
        <v>7438426</v>
      </c>
      <c r="C671" s="9" t="s">
        <v>283</v>
      </c>
      <c r="D671" s="9">
        <v>101240707</v>
      </c>
      <c r="E671" s="9" t="s">
        <v>1912</v>
      </c>
      <c r="F671" s="11" t="s">
        <v>1913</v>
      </c>
      <c r="G671" s="9" t="s">
        <v>1914</v>
      </c>
      <c r="H671" t="s">
        <v>17</v>
      </c>
    </row>
    <row r="672" spans="1:8" ht="15" customHeight="1" x14ac:dyDescent="0.3">
      <c r="A672" s="9" t="s">
        <v>122</v>
      </c>
      <c r="B672" s="9">
        <v>7438426</v>
      </c>
      <c r="C672" s="9" t="s">
        <v>285</v>
      </c>
      <c r="D672" s="9">
        <v>101244648</v>
      </c>
      <c r="E672" s="9" t="s">
        <v>1912</v>
      </c>
      <c r="F672" s="11" t="s">
        <v>1913</v>
      </c>
      <c r="G672" s="9" t="s">
        <v>1914</v>
      </c>
      <c r="H672" t="s">
        <v>17</v>
      </c>
    </row>
    <row r="673" spans="1:8" ht="15" customHeight="1" x14ac:dyDescent="0.3">
      <c r="A673" s="9" t="s">
        <v>122</v>
      </c>
      <c r="B673" s="9">
        <v>7438426</v>
      </c>
      <c r="C673" s="9" t="s">
        <v>304</v>
      </c>
      <c r="D673" s="9">
        <v>101216896</v>
      </c>
      <c r="E673" s="9" t="s">
        <v>1912</v>
      </c>
      <c r="F673" s="11" t="s">
        <v>1913</v>
      </c>
      <c r="G673" s="9" t="s">
        <v>1914</v>
      </c>
      <c r="H673" t="s">
        <v>17</v>
      </c>
    </row>
    <row r="674" spans="1:8" ht="15" customHeight="1" x14ac:dyDescent="0.3">
      <c r="A674" s="9" t="s">
        <v>122</v>
      </c>
      <c r="B674" s="9">
        <v>7438426</v>
      </c>
      <c r="C674" s="9" t="s">
        <v>308</v>
      </c>
      <c r="D674" s="9">
        <v>101334295</v>
      </c>
      <c r="E674" s="9" t="s">
        <v>1912</v>
      </c>
      <c r="F674" s="11" t="s">
        <v>1913</v>
      </c>
      <c r="G674" s="9" t="s">
        <v>1914</v>
      </c>
      <c r="H674" t="s">
        <v>17</v>
      </c>
    </row>
    <row r="675" spans="1:8" ht="15" customHeight="1" x14ac:dyDescent="0.3">
      <c r="A675" s="9" t="s">
        <v>122</v>
      </c>
      <c r="B675" s="9">
        <v>7438426</v>
      </c>
      <c r="C675" s="9" t="s">
        <v>314</v>
      </c>
      <c r="D675" s="9">
        <v>101334359</v>
      </c>
      <c r="E675" s="9" t="s">
        <v>1912</v>
      </c>
      <c r="F675" s="11" t="s">
        <v>1913</v>
      </c>
      <c r="G675" s="9" t="s">
        <v>1914</v>
      </c>
      <c r="H675" t="s">
        <v>17</v>
      </c>
    </row>
    <row r="676" spans="1:8" ht="15" customHeight="1" x14ac:dyDescent="0.3">
      <c r="A676" s="9" t="s">
        <v>122</v>
      </c>
      <c r="B676" s="9">
        <v>7438426</v>
      </c>
      <c r="C676" s="9" t="s">
        <v>316</v>
      </c>
      <c r="D676" s="9">
        <v>101203051</v>
      </c>
      <c r="E676" s="9" t="s">
        <v>1912</v>
      </c>
      <c r="F676" s="11" t="s">
        <v>1913</v>
      </c>
      <c r="G676" s="9" t="s">
        <v>1914</v>
      </c>
      <c r="H676" t="s">
        <v>17</v>
      </c>
    </row>
    <row r="677" spans="1:8" ht="15" customHeight="1" x14ac:dyDescent="0.3">
      <c r="A677" s="9" t="s">
        <v>122</v>
      </c>
      <c r="B677" s="9">
        <v>7438426</v>
      </c>
      <c r="C677" s="9" t="s">
        <v>318</v>
      </c>
      <c r="D677" s="9">
        <v>101359430</v>
      </c>
      <c r="E677" s="9" t="s">
        <v>1912</v>
      </c>
      <c r="F677" s="11" t="s">
        <v>1913</v>
      </c>
      <c r="G677" s="9" t="s">
        <v>1914</v>
      </c>
      <c r="H677" t="s">
        <v>17</v>
      </c>
    </row>
    <row r="678" spans="1:8" ht="15" customHeight="1" x14ac:dyDescent="0.3">
      <c r="A678" s="9" t="s">
        <v>122</v>
      </c>
      <c r="B678" s="9">
        <v>7438426</v>
      </c>
      <c r="C678" s="9" t="s">
        <v>322</v>
      </c>
      <c r="D678" s="9">
        <v>101203052</v>
      </c>
      <c r="E678" s="9" t="s">
        <v>1912</v>
      </c>
      <c r="F678" s="11" t="s">
        <v>1913</v>
      </c>
      <c r="G678" s="9" t="s">
        <v>1914</v>
      </c>
      <c r="H678" t="s">
        <v>17</v>
      </c>
    </row>
    <row r="679" spans="1:8" ht="15" customHeight="1" x14ac:dyDescent="0.3">
      <c r="A679" s="9" t="s">
        <v>122</v>
      </c>
      <c r="B679" s="9">
        <v>7438426</v>
      </c>
      <c r="C679" s="9" t="s">
        <v>332</v>
      </c>
      <c r="D679" s="9">
        <v>101359431</v>
      </c>
      <c r="E679" s="9" t="s">
        <v>1912</v>
      </c>
      <c r="F679" s="11" t="s">
        <v>1913</v>
      </c>
      <c r="G679" s="9" t="s">
        <v>1914</v>
      </c>
      <c r="H679" t="s">
        <v>17</v>
      </c>
    </row>
    <row r="680" spans="1:8" ht="15" customHeight="1" x14ac:dyDescent="0.3">
      <c r="A680" s="9" t="s">
        <v>122</v>
      </c>
      <c r="B680" s="9">
        <v>7438426</v>
      </c>
      <c r="C680" s="9" t="s">
        <v>340</v>
      </c>
      <c r="D680" s="9">
        <v>101359432</v>
      </c>
      <c r="E680" s="9" t="s">
        <v>1912</v>
      </c>
      <c r="F680" s="11" t="s">
        <v>1913</v>
      </c>
      <c r="G680" s="9" t="s">
        <v>1914</v>
      </c>
      <c r="H680" t="s">
        <v>17</v>
      </c>
    </row>
    <row r="681" spans="1:8" ht="15" customHeight="1" x14ac:dyDescent="0.3">
      <c r="A681" s="9" t="s">
        <v>122</v>
      </c>
      <c r="B681" s="9">
        <v>7438426</v>
      </c>
      <c r="C681" s="9" t="s">
        <v>457</v>
      </c>
      <c r="D681" s="9">
        <v>101377144</v>
      </c>
      <c r="E681" s="9" t="s">
        <v>1912</v>
      </c>
      <c r="F681" s="11" t="s">
        <v>1913</v>
      </c>
      <c r="G681" s="9" t="s">
        <v>1914</v>
      </c>
      <c r="H681" t="s">
        <v>17</v>
      </c>
    </row>
    <row r="682" spans="1:8" ht="15" customHeight="1" x14ac:dyDescent="0.3">
      <c r="A682" s="9" t="s">
        <v>345</v>
      </c>
      <c r="B682" s="9">
        <v>7500610</v>
      </c>
      <c r="C682" s="9" t="s">
        <v>812</v>
      </c>
      <c r="D682" s="9">
        <v>101381829</v>
      </c>
      <c r="E682" s="9" t="s">
        <v>1990</v>
      </c>
      <c r="F682" s="11" t="s">
        <v>2024</v>
      </c>
      <c r="G682" s="9"/>
      <c r="H682" t="s">
        <v>17</v>
      </c>
    </row>
    <row r="683" spans="1:8" ht="15" customHeight="1" x14ac:dyDescent="0.3">
      <c r="A683" s="9" t="s">
        <v>2037</v>
      </c>
      <c r="B683" s="9">
        <v>7500610</v>
      </c>
      <c r="C683" s="9" t="s">
        <v>2036</v>
      </c>
      <c r="D683" s="9">
        <v>120081847</v>
      </c>
      <c r="E683" s="9" t="s">
        <v>1990</v>
      </c>
      <c r="F683" s="11" t="s">
        <v>2024</v>
      </c>
      <c r="G683" s="9"/>
      <c r="H683" t="s">
        <v>17</v>
      </c>
    </row>
    <row r="684" spans="1:8" ht="15" customHeight="1" x14ac:dyDescent="0.3">
      <c r="A684" s="9" t="s">
        <v>2037</v>
      </c>
      <c r="B684" s="9">
        <v>7500610</v>
      </c>
      <c r="C684" s="9" t="s">
        <v>2039</v>
      </c>
      <c r="D684" s="9">
        <v>120081846</v>
      </c>
      <c r="E684" s="9" t="s">
        <v>1990</v>
      </c>
      <c r="F684" s="11" t="s">
        <v>2024</v>
      </c>
      <c r="G684" s="9"/>
      <c r="H684" t="s">
        <v>17</v>
      </c>
    </row>
    <row r="685" spans="1:8" ht="15" customHeight="1" x14ac:dyDescent="0.3">
      <c r="A685" s="9" t="s">
        <v>2037</v>
      </c>
      <c r="B685" s="9">
        <v>7500610</v>
      </c>
      <c r="C685" s="9" t="s">
        <v>2041</v>
      </c>
      <c r="D685" s="9">
        <v>101091481</v>
      </c>
      <c r="E685" s="9" t="s">
        <v>1990</v>
      </c>
      <c r="F685" s="11" t="s">
        <v>2024</v>
      </c>
      <c r="G685" s="9"/>
      <c r="H685" t="s">
        <v>17</v>
      </c>
    </row>
    <row r="686" spans="1:8" ht="15" customHeight="1" x14ac:dyDescent="0.3">
      <c r="A686" s="9" t="s">
        <v>2037</v>
      </c>
      <c r="B686" s="9">
        <v>7500610</v>
      </c>
      <c r="C686" s="9" t="s">
        <v>2043</v>
      </c>
      <c r="D686" s="9">
        <v>101092099</v>
      </c>
      <c r="E686" s="9" t="s">
        <v>1990</v>
      </c>
      <c r="F686" s="11" t="s">
        <v>2024</v>
      </c>
      <c r="G686" s="9"/>
      <c r="H686" t="s">
        <v>17</v>
      </c>
    </row>
    <row r="687" spans="1:8" ht="15" customHeight="1" x14ac:dyDescent="0.3">
      <c r="A687" s="9" t="s">
        <v>2037</v>
      </c>
      <c r="B687" s="9">
        <v>7500610</v>
      </c>
      <c r="C687" s="9" t="s">
        <v>2046</v>
      </c>
      <c r="D687" s="9">
        <v>120081849</v>
      </c>
      <c r="E687" s="9" t="s">
        <v>1990</v>
      </c>
      <c r="F687" s="11" t="s">
        <v>2024</v>
      </c>
      <c r="G687" s="9"/>
      <c r="H687" t="s">
        <v>17</v>
      </c>
    </row>
    <row r="688" spans="1:8" ht="15" customHeight="1" x14ac:dyDescent="0.3">
      <c r="A688" s="9" t="s">
        <v>2037</v>
      </c>
      <c r="B688" s="9">
        <v>7500610</v>
      </c>
      <c r="C688" s="9" t="s">
        <v>2048</v>
      </c>
      <c r="D688" s="9">
        <v>120081960</v>
      </c>
      <c r="E688" s="9" t="s">
        <v>1990</v>
      </c>
      <c r="F688" s="11" t="s">
        <v>2024</v>
      </c>
      <c r="G688" s="9"/>
      <c r="H688" t="s">
        <v>17</v>
      </c>
    </row>
    <row r="689" spans="1:8" ht="15" customHeight="1" x14ac:dyDescent="0.3">
      <c r="A689" s="9" t="s">
        <v>2037</v>
      </c>
      <c r="B689" s="9">
        <v>7500610</v>
      </c>
      <c r="C689" s="9" t="s">
        <v>2050</v>
      </c>
      <c r="D689" s="9">
        <v>120081845</v>
      </c>
      <c r="E689" s="9" t="s">
        <v>1990</v>
      </c>
      <c r="F689" s="11" t="s">
        <v>2024</v>
      </c>
      <c r="G689" s="9"/>
      <c r="H689" t="s">
        <v>17</v>
      </c>
    </row>
    <row r="690" spans="1:8" ht="15" customHeight="1" x14ac:dyDescent="0.3">
      <c r="A690" s="9" t="s">
        <v>2037</v>
      </c>
      <c r="B690" s="9">
        <v>7500610</v>
      </c>
      <c r="C690" s="9" t="s">
        <v>2052</v>
      </c>
      <c r="D690" s="9">
        <v>120081961</v>
      </c>
      <c r="E690" s="9" t="s">
        <v>1990</v>
      </c>
      <c r="F690" s="11" t="s">
        <v>2024</v>
      </c>
      <c r="G690" s="9"/>
      <c r="H690" t="s">
        <v>17</v>
      </c>
    </row>
    <row r="691" spans="1:8" ht="15" customHeight="1" x14ac:dyDescent="0.3">
      <c r="A691" s="9" t="s">
        <v>2037</v>
      </c>
      <c r="B691" s="9">
        <v>7500610</v>
      </c>
      <c r="C691" s="9" t="s">
        <v>2054</v>
      </c>
      <c r="D691" s="9">
        <v>120081848</v>
      </c>
      <c r="E691" s="9" t="s">
        <v>1990</v>
      </c>
      <c r="F691" s="11" t="s">
        <v>2024</v>
      </c>
      <c r="G691" s="9"/>
      <c r="H691" t="s">
        <v>17</v>
      </c>
    </row>
    <row r="692" spans="1:8" ht="15" customHeight="1" x14ac:dyDescent="0.3">
      <c r="A692" s="9" t="s">
        <v>2037</v>
      </c>
      <c r="B692" s="9">
        <v>7500610</v>
      </c>
      <c r="C692" s="9" t="s">
        <v>2056</v>
      </c>
      <c r="D692" s="9">
        <v>120171340</v>
      </c>
      <c r="E692" s="9" t="s">
        <v>1990</v>
      </c>
      <c r="F692" s="11" t="s">
        <v>2024</v>
      </c>
      <c r="G692" s="9"/>
      <c r="H692" t="s">
        <v>17</v>
      </c>
    </row>
    <row r="693" spans="1:8" ht="15" customHeight="1" x14ac:dyDescent="0.3">
      <c r="A693" s="9" t="s">
        <v>2037</v>
      </c>
      <c r="B693" s="9">
        <v>7500610</v>
      </c>
      <c r="C693" s="9" t="s">
        <v>2058</v>
      </c>
      <c r="D693" s="9">
        <v>120171289</v>
      </c>
      <c r="E693" s="9" t="s">
        <v>1990</v>
      </c>
      <c r="F693" s="11" t="s">
        <v>2024</v>
      </c>
      <c r="G693" s="9"/>
      <c r="H693" t="s">
        <v>17</v>
      </c>
    </row>
    <row r="694" spans="1:8" ht="15" customHeight="1" x14ac:dyDescent="0.3">
      <c r="A694" s="9" t="s">
        <v>2037</v>
      </c>
      <c r="B694" s="9">
        <v>7500610</v>
      </c>
      <c r="C694" s="9" t="s">
        <v>2060</v>
      </c>
      <c r="D694" s="9">
        <v>101091482</v>
      </c>
      <c r="E694" s="9" t="s">
        <v>1990</v>
      </c>
      <c r="F694" s="11" t="s">
        <v>2024</v>
      </c>
      <c r="G694" s="9"/>
      <c r="H694" t="s">
        <v>17</v>
      </c>
    </row>
    <row r="695" spans="1:8" ht="15" customHeight="1" x14ac:dyDescent="0.3">
      <c r="A695" s="9" t="s">
        <v>2062</v>
      </c>
      <c r="B695" s="9">
        <v>516773</v>
      </c>
      <c r="C695" s="9" t="s">
        <v>1970</v>
      </c>
      <c r="D695" s="9">
        <v>100731633</v>
      </c>
      <c r="E695" s="9" t="s">
        <v>1990</v>
      </c>
      <c r="F695" s="11" t="s">
        <v>2077</v>
      </c>
      <c r="G695" s="9"/>
      <c r="H695" t="s">
        <v>17</v>
      </c>
    </row>
    <row r="696" spans="1:8" ht="15" customHeight="1" x14ac:dyDescent="0.3">
      <c r="A696" s="9" t="s">
        <v>2062</v>
      </c>
      <c r="B696" s="9">
        <v>516773</v>
      </c>
      <c r="C696" s="9" t="s">
        <v>2063</v>
      </c>
      <c r="D696" s="9">
        <v>100731635</v>
      </c>
      <c r="E696" s="9" t="s">
        <v>1990</v>
      </c>
      <c r="F696" s="11" t="s">
        <v>2077</v>
      </c>
      <c r="G696" s="9"/>
      <c r="H696" t="s">
        <v>17</v>
      </c>
    </row>
    <row r="697" spans="1:8" ht="15" customHeight="1" x14ac:dyDescent="0.3">
      <c r="A697" s="9" t="s">
        <v>2062</v>
      </c>
      <c r="B697" s="9">
        <v>516773</v>
      </c>
      <c r="C697" s="9" t="s">
        <v>1971</v>
      </c>
      <c r="D697" s="9">
        <v>100731627</v>
      </c>
      <c r="E697" s="9" t="s">
        <v>1990</v>
      </c>
      <c r="F697" s="11" t="s">
        <v>2077</v>
      </c>
      <c r="G697" s="9"/>
      <c r="H697" t="s">
        <v>17</v>
      </c>
    </row>
    <row r="698" spans="1:8" ht="15" customHeight="1" x14ac:dyDescent="0.3">
      <c r="A698" s="9" t="s">
        <v>2062</v>
      </c>
      <c r="B698" s="9">
        <v>516773</v>
      </c>
      <c r="C698" s="9" t="s">
        <v>2064</v>
      </c>
      <c r="D698" s="9">
        <v>120171264</v>
      </c>
      <c r="E698" s="9" t="s">
        <v>1990</v>
      </c>
      <c r="F698" s="11" t="s">
        <v>2077</v>
      </c>
      <c r="G698" s="9"/>
      <c r="H698" t="s">
        <v>17</v>
      </c>
    </row>
    <row r="699" spans="1:8" ht="15" customHeight="1" x14ac:dyDescent="0.3">
      <c r="A699" s="9" t="s">
        <v>2062</v>
      </c>
      <c r="B699" s="9">
        <v>516773</v>
      </c>
      <c r="C699" s="9" t="s">
        <v>2066</v>
      </c>
      <c r="D699" s="9">
        <v>120171263</v>
      </c>
      <c r="E699" s="9" t="s">
        <v>1990</v>
      </c>
      <c r="F699" s="11" t="s">
        <v>2077</v>
      </c>
      <c r="G699" s="9"/>
      <c r="H699" t="s">
        <v>17</v>
      </c>
    </row>
    <row r="700" spans="1:8" ht="15" customHeight="1" x14ac:dyDescent="0.3">
      <c r="A700" s="9" t="s">
        <v>2062</v>
      </c>
      <c r="B700" s="9">
        <v>516773</v>
      </c>
      <c r="C700" s="9" t="s">
        <v>1974</v>
      </c>
      <c r="D700" s="9">
        <v>100731631</v>
      </c>
      <c r="E700" s="9" t="s">
        <v>1990</v>
      </c>
      <c r="F700" s="11" t="s">
        <v>2077</v>
      </c>
      <c r="G700" s="9"/>
      <c r="H700" t="s">
        <v>17</v>
      </c>
    </row>
    <row r="701" spans="1:8" ht="15" customHeight="1" x14ac:dyDescent="0.3">
      <c r="A701" s="9" t="s">
        <v>2062</v>
      </c>
      <c r="B701" s="9">
        <v>516773</v>
      </c>
      <c r="C701" s="9" t="s">
        <v>1975</v>
      </c>
      <c r="D701" s="9">
        <v>120096347</v>
      </c>
      <c r="E701" s="9" t="s">
        <v>1990</v>
      </c>
      <c r="F701" s="11" t="s">
        <v>2077</v>
      </c>
      <c r="G701" s="9"/>
      <c r="H701" t="s">
        <v>17</v>
      </c>
    </row>
    <row r="702" spans="1:8" ht="15" customHeight="1" x14ac:dyDescent="0.3">
      <c r="A702" s="9" t="s">
        <v>2062</v>
      </c>
      <c r="B702" s="9">
        <v>516773</v>
      </c>
      <c r="C702" s="9" t="s">
        <v>1976</v>
      </c>
      <c r="D702" s="9">
        <v>120096475</v>
      </c>
      <c r="E702" s="9" t="s">
        <v>1990</v>
      </c>
      <c r="F702" s="11" t="s">
        <v>2077</v>
      </c>
      <c r="G702" s="9"/>
      <c r="H702" t="s">
        <v>17</v>
      </c>
    </row>
    <row r="703" spans="1:8" ht="15" customHeight="1" x14ac:dyDescent="0.3">
      <c r="A703" s="9" t="s">
        <v>2062</v>
      </c>
      <c r="B703" s="9">
        <v>516773</v>
      </c>
      <c r="C703" s="9" t="s">
        <v>1977</v>
      </c>
      <c r="D703" s="9">
        <v>100731638</v>
      </c>
      <c r="E703" s="9" t="s">
        <v>1990</v>
      </c>
      <c r="F703" s="11" t="s">
        <v>2077</v>
      </c>
      <c r="G703" s="9"/>
      <c r="H703" t="s">
        <v>17</v>
      </c>
    </row>
    <row r="704" spans="1:8" ht="15" customHeight="1" x14ac:dyDescent="0.3">
      <c r="A704" s="9" t="s">
        <v>2062</v>
      </c>
      <c r="B704" s="9">
        <v>516773</v>
      </c>
      <c r="C704" s="9" t="s">
        <v>2068</v>
      </c>
      <c r="D704" s="9">
        <v>120171261</v>
      </c>
      <c r="E704" s="9" t="s">
        <v>1990</v>
      </c>
      <c r="F704" s="11" t="s">
        <v>2077</v>
      </c>
      <c r="G704" s="9"/>
      <c r="H704" t="s">
        <v>17</v>
      </c>
    </row>
    <row r="705" spans="1:8" ht="15" customHeight="1" x14ac:dyDescent="0.3">
      <c r="A705" s="9" t="s">
        <v>2062</v>
      </c>
      <c r="B705" s="9">
        <v>516773</v>
      </c>
      <c r="C705" s="9" t="s">
        <v>2006</v>
      </c>
      <c r="D705" s="9">
        <v>120171262</v>
      </c>
      <c r="E705" s="9" t="s">
        <v>1990</v>
      </c>
      <c r="F705" s="11" t="s">
        <v>2077</v>
      </c>
      <c r="G705" s="9"/>
      <c r="H705" t="s">
        <v>17</v>
      </c>
    </row>
    <row r="706" spans="1:8" ht="15" customHeight="1" x14ac:dyDescent="0.3">
      <c r="A706" s="9" t="s">
        <v>2062</v>
      </c>
      <c r="B706" s="9">
        <v>516773</v>
      </c>
      <c r="C706" s="9" t="s">
        <v>2071</v>
      </c>
      <c r="D706" s="9">
        <v>100731629</v>
      </c>
      <c r="E706" s="9" t="s">
        <v>1990</v>
      </c>
      <c r="F706" s="11" t="s">
        <v>2077</v>
      </c>
      <c r="G706" s="9"/>
      <c r="H706" t="s">
        <v>17</v>
      </c>
    </row>
    <row r="707" spans="1:8" ht="15" customHeight="1" x14ac:dyDescent="0.3">
      <c r="A707" s="9" t="s">
        <v>2003</v>
      </c>
      <c r="B707" s="9">
        <v>120169796</v>
      </c>
      <c r="C707" s="9" t="s">
        <v>2002</v>
      </c>
      <c r="D707" s="9">
        <v>120171236</v>
      </c>
      <c r="E707" s="9" t="s">
        <v>1990</v>
      </c>
      <c r="F707" s="11" t="s">
        <v>2078</v>
      </c>
      <c r="G707" s="9"/>
      <c r="H707" t="s">
        <v>17</v>
      </c>
    </row>
    <row r="708" spans="1:8" ht="15" customHeight="1" x14ac:dyDescent="0.3">
      <c r="A708" s="9" t="s">
        <v>2003</v>
      </c>
      <c r="B708" s="9">
        <v>120169796</v>
      </c>
      <c r="C708" s="9" t="s">
        <v>2004</v>
      </c>
      <c r="D708" s="9">
        <v>120171237</v>
      </c>
      <c r="E708" s="9" t="s">
        <v>1990</v>
      </c>
      <c r="F708" s="11" t="s">
        <v>2078</v>
      </c>
      <c r="G708" s="9"/>
      <c r="H708" t="s">
        <v>17</v>
      </c>
    </row>
    <row r="709" spans="1:8" ht="15" customHeight="1" x14ac:dyDescent="0.3">
      <c r="A709" s="9" t="s">
        <v>2003</v>
      </c>
      <c r="B709" s="9">
        <v>120169796</v>
      </c>
      <c r="C709" s="9" t="s">
        <v>2005</v>
      </c>
      <c r="D709" s="9">
        <v>120171238</v>
      </c>
      <c r="E709" s="9" t="s">
        <v>1990</v>
      </c>
      <c r="F709" s="11" t="s">
        <v>2078</v>
      </c>
      <c r="G709" s="9"/>
      <c r="H709" t="s">
        <v>17</v>
      </c>
    </row>
    <row r="710" spans="1:8" ht="15" customHeight="1" x14ac:dyDescent="0.3">
      <c r="A710" s="9" t="s">
        <v>2009</v>
      </c>
      <c r="B710" s="9">
        <v>120091794</v>
      </c>
      <c r="C710" s="9" t="s">
        <v>2079</v>
      </c>
      <c r="D710" s="9">
        <v>120091797</v>
      </c>
      <c r="E710" s="9" t="s">
        <v>1990</v>
      </c>
      <c r="F710" s="11" t="s">
        <v>2086</v>
      </c>
      <c r="G710" s="9"/>
      <c r="H710" t="s">
        <v>17</v>
      </c>
    </row>
    <row r="711" spans="1:8" ht="15" customHeight="1" x14ac:dyDescent="0.3">
      <c r="A711" s="9" t="s">
        <v>2009</v>
      </c>
      <c r="B711" s="9">
        <v>120091794</v>
      </c>
      <c r="C711" s="9" t="s">
        <v>2081</v>
      </c>
      <c r="D711" s="9">
        <v>120091796</v>
      </c>
      <c r="E711" s="9" t="s">
        <v>1990</v>
      </c>
      <c r="F711" s="11" t="s">
        <v>2086</v>
      </c>
      <c r="G711" s="9"/>
      <c r="H711" t="s">
        <v>17</v>
      </c>
    </row>
    <row r="712" spans="1:8" ht="15" customHeight="1" x14ac:dyDescent="0.3">
      <c r="A712" s="9" t="s">
        <v>2009</v>
      </c>
      <c r="B712" s="9">
        <v>120091794</v>
      </c>
      <c r="C712" s="9" t="s">
        <v>2008</v>
      </c>
      <c r="D712" s="9">
        <v>120171271</v>
      </c>
      <c r="E712" s="9" t="s">
        <v>1990</v>
      </c>
      <c r="F712" s="11" t="s">
        <v>2086</v>
      </c>
      <c r="G712" s="9"/>
      <c r="H712" t="s">
        <v>17</v>
      </c>
    </row>
    <row r="713" spans="1:8" ht="15" customHeight="1" x14ac:dyDescent="0.3">
      <c r="A713" s="9" t="s">
        <v>2009</v>
      </c>
      <c r="B713" s="9">
        <v>120091794</v>
      </c>
      <c r="C713" s="9" t="s">
        <v>2084</v>
      </c>
      <c r="D713" s="9">
        <v>120091795</v>
      </c>
      <c r="E713" s="9" t="s">
        <v>1990</v>
      </c>
      <c r="F713" s="11" t="s">
        <v>2086</v>
      </c>
      <c r="G713" s="9"/>
      <c r="H713" t="s">
        <v>17</v>
      </c>
    </row>
    <row r="714" spans="1:8" ht="15" customHeight="1" x14ac:dyDescent="0.3">
      <c r="A714" s="9" t="s">
        <v>2087</v>
      </c>
      <c r="B714" s="9">
        <v>532861</v>
      </c>
      <c r="C714" s="9" t="s">
        <v>1988</v>
      </c>
      <c r="D714" s="9">
        <v>100315017</v>
      </c>
      <c r="E714" s="9" t="s">
        <v>1990</v>
      </c>
      <c r="F714" s="11" t="s">
        <v>2103</v>
      </c>
      <c r="G714" s="9"/>
      <c r="H714" t="s">
        <v>17</v>
      </c>
    </row>
    <row r="715" spans="1:8" ht="15" customHeight="1" x14ac:dyDescent="0.3">
      <c r="A715" s="9" t="s">
        <v>2087</v>
      </c>
      <c r="B715" s="9">
        <v>532861</v>
      </c>
      <c r="C715" s="9" t="s">
        <v>2089</v>
      </c>
      <c r="D715" s="9">
        <v>100315015</v>
      </c>
      <c r="E715" s="9" t="s">
        <v>1990</v>
      </c>
      <c r="F715" s="11" t="s">
        <v>2103</v>
      </c>
      <c r="G715" s="9"/>
      <c r="H715" t="s">
        <v>17</v>
      </c>
    </row>
    <row r="716" spans="1:8" ht="15" customHeight="1" x14ac:dyDescent="0.3">
      <c r="A716" s="9" t="s">
        <v>2087</v>
      </c>
      <c r="B716" s="9">
        <v>532861</v>
      </c>
      <c r="C716" s="9" t="s">
        <v>2092</v>
      </c>
      <c r="D716" s="9">
        <v>100315013</v>
      </c>
      <c r="E716" s="9" t="s">
        <v>1990</v>
      </c>
      <c r="F716" s="11" t="s">
        <v>2103</v>
      </c>
      <c r="G716" s="9"/>
      <c r="H716" t="s">
        <v>17</v>
      </c>
    </row>
    <row r="717" spans="1:8" ht="15" customHeight="1" x14ac:dyDescent="0.3">
      <c r="A717" s="9" t="s">
        <v>2087</v>
      </c>
      <c r="B717" s="9">
        <v>532861</v>
      </c>
      <c r="C717" s="9" t="s">
        <v>23</v>
      </c>
      <c r="D717" s="9">
        <v>120045211</v>
      </c>
      <c r="E717" s="9" t="s">
        <v>1990</v>
      </c>
      <c r="F717" s="11" t="s">
        <v>2103</v>
      </c>
      <c r="G717" s="9"/>
      <c r="H717" t="s">
        <v>17</v>
      </c>
    </row>
    <row r="718" spans="1:8" ht="15" customHeight="1" x14ac:dyDescent="0.3">
      <c r="A718" s="9" t="s">
        <v>2087</v>
      </c>
      <c r="B718" s="9">
        <v>532861</v>
      </c>
      <c r="C718" s="9" t="s">
        <v>2095</v>
      </c>
      <c r="D718" s="9">
        <v>120045212</v>
      </c>
      <c r="E718" s="9" t="s">
        <v>1990</v>
      </c>
      <c r="F718" s="11" t="s">
        <v>2103</v>
      </c>
      <c r="G718" s="9"/>
      <c r="H718" t="s">
        <v>17</v>
      </c>
    </row>
    <row r="719" spans="1:8" ht="15" customHeight="1" x14ac:dyDescent="0.3">
      <c r="A719" s="9" t="s">
        <v>2105</v>
      </c>
      <c r="B719" s="9">
        <v>7498617</v>
      </c>
      <c r="C719" s="9" t="s">
        <v>2542</v>
      </c>
      <c r="D719" s="9">
        <v>120171894</v>
      </c>
      <c r="E719" s="9" t="s">
        <v>2733</v>
      </c>
      <c r="F719" s="11" t="s">
        <v>2734</v>
      </c>
      <c r="G719" s="9"/>
      <c r="H719" t="s">
        <v>17</v>
      </c>
    </row>
    <row r="720" spans="1:8" ht="15" customHeight="1" x14ac:dyDescent="0.3">
      <c r="A720" s="9" t="s">
        <v>2105</v>
      </c>
      <c r="B720" s="9">
        <v>7498617</v>
      </c>
      <c r="C720" s="9" t="s">
        <v>266</v>
      </c>
      <c r="D720" s="9">
        <v>101059039</v>
      </c>
      <c r="E720" s="9" t="s">
        <v>2733</v>
      </c>
      <c r="F720" s="11" t="s">
        <v>2734</v>
      </c>
      <c r="G720" s="9"/>
      <c r="H720" t="s">
        <v>17</v>
      </c>
    </row>
    <row r="721" spans="1:8" ht="15" customHeight="1" x14ac:dyDescent="0.3">
      <c r="A721" s="9" t="s">
        <v>2107</v>
      </c>
      <c r="B721" s="9">
        <v>120171919</v>
      </c>
      <c r="C721" s="9" t="s">
        <v>2106</v>
      </c>
      <c r="D721" s="9">
        <v>120171895</v>
      </c>
      <c r="E721" s="9" t="s">
        <v>2733</v>
      </c>
      <c r="F721" s="11" t="s">
        <v>2734</v>
      </c>
      <c r="G721" s="9"/>
      <c r="H721" t="s">
        <v>17</v>
      </c>
    </row>
    <row r="722" spans="1:8" ht="15" customHeight="1" x14ac:dyDescent="0.3">
      <c r="A722" s="9" t="s">
        <v>2107</v>
      </c>
      <c r="B722" s="9">
        <v>120171919</v>
      </c>
      <c r="C722" s="9" t="s">
        <v>2108</v>
      </c>
      <c r="D722" s="9">
        <v>120171896</v>
      </c>
      <c r="E722" s="9" t="s">
        <v>2733</v>
      </c>
      <c r="F722" s="11" t="s">
        <v>2734</v>
      </c>
      <c r="G722" s="9"/>
      <c r="H722" t="s">
        <v>17</v>
      </c>
    </row>
    <row r="723" spans="1:8" ht="15" customHeight="1" x14ac:dyDescent="0.3">
      <c r="A723" s="9" t="s">
        <v>2107</v>
      </c>
      <c r="B723" s="9">
        <v>120171919</v>
      </c>
      <c r="C723" s="9" t="s">
        <v>2109</v>
      </c>
      <c r="D723" s="9">
        <v>120171897</v>
      </c>
      <c r="E723" s="9" t="s">
        <v>2733</v>
      </c>
      <c r="F723" s="11" t="s">
        <v>2734</v>
      </c>
      <c r="G723" s="9"/>
      <c r="H723" t="s">
        <v>17</v>
      </c>
    </row>
    <row r="724" spans="1:8" ht="15" customHeight="1" x14ac:dyDescent="0.3">
      <c r="A724" s="9" t="s">
        <v>2107</v>
      </c>
      <c r="B724" s="9">
        <v>120171919</v>
      </c>
      <c r="C724" s="9" t="s">
        <v>2110</v>
      </c>
      <c r="D724" s="9">
        <v>120171898</v>
      </c>
      <c r="E724" s="9" t="s">
        <v>2733</v>
      </c>
      <c r="F724" s="11" t="s">
        <v>2734</v>
      </c>
      <c r="G724" s="9"/>
      <c r="H724" t="s">
        <v>17</v>
      </c>
    </row>
    <row r="725" spans="1:8" ht="15" customHeight="1" x14ac:dyDescent="0.3">
      <c r="A725" s="9" t="s">
        <v>2112</v>
      </c>
      <c r="B725" s="9">
        <v>120171920</v>
      </c>
      <c r="C725" s="9" t="s">
        <v>2111</v>
      </c>
      <c r="D725" s="9">
        <v>120171899</v>
      </c>
      <c r="E725" s="9" t="s">
        <v>2733</v>
      </c>
      <c r="F725" s="11" t="s">
        <v>2734</v>
      </c>
      <c r="G725" s="9"/>
      <c r="H725" t="s">
        <v>17</v>
      </c>
    </row>
    <row r="726" spans="1:8" ht="15" customHeight="1" x14ac:dyDescent="0.3">
      <c r="A726" s="9" t="s">
        <v>2288</v>
      </c>
      <c r="B726" s="9">
        <v>529816</v>
      </c>
      <c r="C726" s="9" t="s">
        <v>2113</v>
      </c>
      <c r="D726" s="9">
        <v>120171950</v>
      </c>
      <c r="E726" s="9" t="s">
        <v>2733</v>
      </c>
      <c r="F726" s="11" t="s">
        <v>2734</v>
      </c>
      <c r="G726" s="9"/>
      <c r="H726" t="s">
        <v>17</v>
      </c>
    </row>
    <row r="727" spans="1:8" ht="15" customHeight="1" x14ac:dyDescent="0.3">
      <c r="A727" s="9" t="s">
        <v>2116</v>
      </c>
      <c r="B727" s="9">
        <v>528490</v>
      </c>
      <c r="C727" s="9" t="s">
        <v>2114</v>
      </c>
      <c r="D727" s="9">
        <v>120171951</v>
      </c>
      <c r="E727" s="9" t="s">
        <v>2733</v>
      </c>
      <c r="F727" s="11" t="s">
        <v>2734</v>
      </c>
      <c r="G727" s="9"/>
      <c r="H727" t="s">
        <v>17</v>
      </c>
    </row>
    <row r="728" spans="1:8" ht="15" customHeight="1" x14ac:dyDescent="0.3">
      <c r="A728" s="9" t="s">
        <v>2116</v>
      </c>
      <c r="B728" s="9">
        <v>528490</v>
      </c>
      <c r="C728" s="9" t="s">
        <v>2115</v>
      </c>
      <c r="D728" s="9">
        <v>120171952</v>
      </c>
      <c r="E728" s="9" t="s">
        <v>2733</v>
      </c>
      <c r="F728" s="11" t="s">
        <v>2734</v>
      </c>
      <c r="G728" s="9"/>
      <c r="H728" t="s">
        <v>17</v>
      </c>
    </row>
    <row r="729" spans="1:8" ht="15" customHeight="1" x14ac:dyDescent="0.3">
      <c r="A729" s="9" t="s">
        <v>2116</v>
      </c>
      <c r="B729" s="9">
        <v>528490</v>
      </c>
      <c r="C729" s="9" t="s">
        <v>2459</v>
      </c>
      <c r="D729" s="9">
        <v>120171953</v>
      </c>
      <c r="E729" s="9" t="s">
        <v>2733</v>
      </c>
      <c r="F729" s="11" t="s">
        <v>2734</v>
      </c>
      <c r="G729" s="9"/>
      <c r="H729" t="s">
        <v>17</v>
      </c>
    </row>
    <row r="730" spans="1:8" ht="15" customHeight="1" x14ac:dyDescent="0.3">
      <c r="A730" s="9" t="s">
        <v>2116</v>
      </c>
      <c r="B730" s="9">
        <v>528490</v>
      </c>
      <c r="C730" s="9" t="s">
        <v>2117</v>
      </c>
      <c r="D730" s="9">
        <v>120171954</v>
      </c>
      <c r="E730" s="9" t="s">
        <v>2733</v>
      </c>
      <c r="F730" s="11" t="s">
        <v>2734</v>
      </c>
      <c r="G730" s="9"/>
      <c r="H730" t="s">
        <v>17</v>
      </c>
    </row>
    <row r="731" spans="1:8" ht="15" customHeight="1" x14ac:dyDescent="0.3">
      <c r="A731" s="9" t="s">
        <v>2404</v>
      </c>
      <c r="B731" s="9">
        <v>80135768</v>
      </c>
      <c r="C731" s="9" t="s">
        <v>2118</v>
      </c>
      <c r="D731" s="9">
        <v>120171955</v>
      </c>
      <c r="E731" s="9" t="s">
        <v>2733</v>
      </c>
      <c r="F731" s="11" t="s">
        <v>2734</v>
      </c>
      <c r="G731" s="9"/>
      <c r="H731" t="s">
        <v>17</v>
      </c>
    </row>
    <row r="732" spans="1:8" ht="15" customHeight="1" x14ac:dyDescent="0.3">
      <c r="A732" s="9" t="s">
        <v>2404</v>
      </c>
      <c r="B732" s="9">
        <v>80135768</v>
      </c>
      <c r="C732" s="9" t="s">
        <v>2119</v>
      </c>
      <c r="D732" s="9">
        <v>120171956</v>
      </c>
      <c r="E732" s="9" t="s">
        <v>2733</v>
      </c>
      <c r="F732" s="11" t="s">
        <v>2734</v>
      </c>
      <c r="G732" s="9"/>
      <c r="H732" t="s">
        <v>17</v>
      </c>
    </row>
    <row r="733" spans="1:8" ht="15" customHeight="1" x14ac:dyDescent="0.3">
      <c r="A733" s="9" t="s">
        <v>2404</v>
      </c>
      <c r="B733" s="9">
        <v>80135768</v>
      </c>
      <c r="C733" s="9" t="s">
        <v>2120</v>
      </c>
      <c r="D733" s="9">
        <v>120171957</v>
      </c>
      <c r="E733" s="9" t="s">
        <v>2733</v>
      </c>
      <c r="F733" s="11" t="s">
        <v>2734</v>
      </c>
      <c r="G733" s="9"/>
      <c r="H733" t="s">
        <v>17</v>
      </c>
    </row>
    <row r="734" spans="1:8" ht="15" customHeight="1" x14ac:dyDescent="0.3">
      <c r="A734" s="9" t="s">
        <v>2404</v>
      </c>
      <c r="B734" s="9">
        <v>80135768</v>
      </c>
      <c r="C734" s="9" t="s">
        <v>2121</v>
      </c>
      <c r="D734" s="9">
        <v>120171958</v>
      </c>
      <c r="E734" s="9" t="s">
        <v>2733</v>
      </c>
      <c r="F734" s="11" t="s">
        <v>2734</v>
      </c>
      <c r="G734" s="9"/>
      <c r="H734" t="s">
        <v>17</v>
      </c>
    </row>
    <row r="735" spans="1:8" ht="15" customHeight="1" x14ac:dyDescent="0.3">
      <c r="A735" s="9" t="s">
        <v>120</v>
      </c>
      <c r="B735" s="9">
        <v>7496125</v>
      </c>
      <c r="C735" s="9" t="s">
        <v>2122</v>
      </c>
      <c r="D735" s="9">
        <v>120171959</v>
      </c>
      <c r="E735" s="9" t="s">
        <v>2733</v>
      </c>
      <c r="F735" s="11" t="s">
        <v>2734</v>
      </c>
      <c r="G735" s="9"/>
      <c r="H735" t="s">
        <v>17</v>
      </c>
    </row>
    <row r="736" spans="1:8" ht="15" customHeight="1" x14ac:dyDescent="0.3">
      <c r="A736" s="9" t="s">
        <v>2220</v>
      </c>
      <c r="B736" s="9">
        <v>120171915</v>
      </c>
      <c r="C736" s="9" t="s">
        <v>2123</v>
      </c>
      <c r="D736" s="9">
        <v>120171960</v>
      </c>
      <c r="E736" s="9" t="s">
        <v>2733</v>
      </c>
      <c r="F736" s="11" t="s">
        <v>2734</v>
      </c>
      <c r="G736" s="9"/>
      <c r="H736" t="s">
        <v>17</v>
      </c>
    </row>
    <row r="737" spans="1:8" ht="15" customHeight="1" x14ac:dyDescent="0.3">
      <c r="A737" s="9" t="s">
        <v>2220</v>
      </c>
      <c r="B737" s="9">
        <v>120171915</v>
      </c>
      <c r="C737" s="9" t="s">
        <v>2124</v>
      </c>
      <c r="D737" s="9">
        <v>120171961</v>
      </c>
      <c r="E737" s="9" t="s">
        <v>2733</v>
      </c>
      <c r="F737" s="11" t="s">
        <v>2734</v>
      </c>
      <c r="G737" s="9"/>
      <c r="H737" t="s">
        <v>17</v>
      </c>
    </row>
    <row r="738" spans="1:8" ht="15" customHeight="1" x14ac:dyDescent="0.3">
      <c r="A738" s="9" t="s">
        <v>2220</v>
      </c>
      <c r="B738" s="9">
        <v>120171915</v>
      </c>
      <c r="C738" s="9" t="s">
        <v>2125</v>
      </c>
      <c r="D738" s="9">
        <v>120171962</v>
      </c>
      <c r="E738" s="9" t="s">
        <v>2733</v>
      </c>
      <c r="F738" s="11" t="s">
        <v>2734</v>
      </c>
      <c r="G738" s="9"/>
      <c r="H738" t="s">
        <v>17</v>
      </c>
    </row>
    <row r="739" spans="1:8" ht="15" customHeight="1" x14ac:dyDescent="0.3">
      <c r="A739" s="9" t="s">
        <v>2220</v>
      </c>
      <c r="B739" s="9">
        <v>120171915</v>
      </c>
      <c r="C739" s="9" t="s">
        <v>2126</v>
      </c>
      <c r="D739" s="9">
        <v>120171963</v>
      </c>
      <c r="E739" s="9" t="s">
        <v>2733</v>
      </c>
      <c r="F739" s="11" t="s">
        <v>2734</v>
      </c>
      <c r="G739" s="9"/>
      <c r="H739" t="s">
        <v>17</v>
      </c>
    </row>
    <row r="740" spans="1:8" ht="15" customHeight="1" x14ac:dyDescent="0.3">
      <c r="A740" s="9" t="s">
        <v>2128</v>
      </c>
      <c r="B740" s="9">
        <v>120171921</v>
      </c>
      <c r="C740" s="9" t="s">
        <v>2127</v>
      </c>
      <c r="D740" s="9">
        <v>120171964</v>
      </c>
      <c r="E740" s="9" t="s">
        <v>2733</v>
      </c>
      <c r="F740" s="11" t="s">
        <v>2734</v>
      </c>
      <c r="G740" s="9"/>
      <c r="H740" t="s">
        <v>17</v>
      </c>
    </row>
    <row r="741" spans="1:8" ht="15" customHeight="1" x14ac:dyDescent="0.3">
      <c r="A741" s="9" t="s">
        <v>2128</v>
      </c>
      <c r="B741" s="9">
        <v>120171921</v>
      </c>
      <c r="C741" s="9" t="s">
        <v>2129</v>
      </c>
      <c r="D741" s="9">
        <v>120171965</v>
      </c>
      <c r="E741" s="9" t="s">
        <v>2733</v>
      </c>
      <c r="F741" s="11" t="s">
        <v>2734</v>
      </c>
      <c r="G741" s="9"/>
      <c r="H741" t="s">
        <v>17</v>
      </c>
    </row>
    <row r="742" spans="1:8" ht="15" customHeight="1" x14ac:dyDescent="0.3">
      <c r="A742" s="9" t="s">
        <v>2128</v>
      </c>
      <c r="B742" s="9">
        <v>120171921</v>
      </c>
      <c r="C742" s="9" t="s">
        <v>2130</v>
      </c>
      <c r="D742" s="9">
        <v>120171966</v>
      </c>
      <c r="E742" s="9" t="s">
        <v>2733</v>
      </c>
      <c r="F742" s="11" t="s">
        <v>2734</v>
      </c>
      <c r="G742" s="9"/>
      <c r="H742" t="s">
        <v>17</v>
      </c>
    </row>
    <row r="743" spans="1:8" ht="15" customHeight="1" x14ac:dyDescent="0.3">
      <c r="A743" s="9" t="s">
        <v>2132</v>
      </c>
      <c r="B743" s="9">
        <v>110000553</v>
      </c>
      <c r="C743" s="9" t="s">
        <v>2131</v>
      </c>
      <c r="D743" s="9">
        <v>120171967</v>
      </c>
      <c r="E743" s="9" t="s">
        <v>2733</v>
      </c>
      <c r="F743" s="11" t="s">
        <v>2734</v>
      </c>
      <c r="G743" s="9"/>
      <c r="H743" t="s">
        <v>17</v>
      </c>
    </row>
    <row r="744" spans="1:8" ht="15" customHeight="1" x14ac:dyDescent="0.3">
      <c r="A744" s="9" t="s">
        <v>2132</v>
      </c>
      <c r="B744" s="9">
        <v>110000553</v>
      </c>
      <c r="C744" s="9" t="s">
        <v>2133</v>
      </c>
      <c r="D744" s="9">
        <v>120171968</v>
      </c>
      <c r="E744" s="9" t="s">
        <v>2733</v>
      </c>
      <c r="F744" s="11" t="s">
        <v>2734</v>
      </c>
      <c r="G744" s="9"/>
      <c r="H744" t="s">
        <v>17</v>
      </c>
    </row>
    <row r="745" spans="1:8" ht="15" customHeight="1" x14ac:dyDescent="0.3">
      <c r="A745" s="9" t="s">
        <v>2135</v>
      </c>
      <c r="B745" s="9">
        <v>120171911</v>
      </c>
      <c r="C745" s="9" t="s">
        <v>2134</v>
      </c>
      <c r="D745" s="9">
        <v>120171969</v>
      </c>
      <c r="E745" s="9" t="s">
        <v>2733</v>
      </c>
      <c r="F745" s="11" t="s">
        <v>2734</v>
      </c>
      <c r="G745" s="9"/>
      <c r="H745" t="s">
        <v>17</v>
      </c>
    </row>
    <row r="746" spans="1:8" ht="15" customHeight="1" x14ac:dyDescent="0.3">
      <c r="A746" s="9" t="s">
        <v>2137</v>
      </c>
      <c r="B746" s="9">
        <v>120171922</v>
      </c>
      <c r="C746" s="9" t="s">
        <v>2136</v>
      </c>
      <c r="D746" s="9">
        <v>120171970</v>
      </c>
      <c r="E746" s="9" t="s">
        <v>2733</v>
      </c>
      <c r="F746" s="11" t="s">
        <v>2734</v>
      </c>
      <c r="G746" s="9"/>
      <c r="H746" t="s">
        <v>17</v>
      </c>
    </row>
    <row r="747" spans="1:8" ht="15" customHeight="1" x14ac:dyDescent="0.3">
      <c r="A747" s="9" t="s">
        <v>2139</v>
      </c>
      <c r="B747" s="9">
        <v>7498614</v>
      </c>
      <c r="C747" s="9" t="s">
        <v>2138</v>
      </c>
      <c r="D747" s="9">
        <v>120171971</v>
      </c>
      <c r="E747" s="9" t="s">
        <v>2733</v>
      </c>
      <c r="F747" s="11" t="s">
        <v>2734</v>
      </c>
      <c r="G747" s="9"/>
      <c r="H747" t="s">
        <v>17</v>
      </c>
    </row>
    <row r="748" spans="1:8" ht="15" customHeight="1" x14ac:dyDescent="0.3">
      <c r="A748" s="9" t="s">
        <v>2139</v>
      </c>
      <c r="B748" s="9">
        <v>7498614</v>
      </c>
      <c r="C748" s="9" t="s">
        <v>2539</v>
      </c>
      <c r="D748" s="9">
        <v>120171972</v>
      </c>
      <c r="E748" s="9" t="s">
        <v>2733</v>
      </c>
      <c r="F748" s="11" t="s">
        <v>2734</v>
      </c>
      <c r="G748" s="9"/>
      <c r="H748" t="s">
        <v>17</v>
      </c>
    </row>
    <row r="749" spans="1:8" ht="15" customHeight="1" x14ac:dyDescent="0.3">
      <c r="A749" s="9" t="s">
        <v>2139</v>
      </c>
      <c r="B749" s="9">
        <v>7498614</v>
      </c>
      <c r="C749" s="9" t="s">
        <v>2140</v>
      </c>
      <c r="D749" s="9">
        <v>120171973</v>
      </c>
      <c r="E749" s="9" t="s">
        <v>2733</v>
      </c>
      <c r="F749" s="11" t="s">
        <v>2734</v>
      </c>
      <c r="G749" s="9"/>
      <c r="H749" t="s">
        <v>17</v>
      </c>
    </row>
    <row r="750" spans="1:8" ht="15" customHeight="1" x14ac:dyDescent="0.3">
      <c r="A750" s="9" t="s">
        <v>247</v>
      </c>
      <c r="B750" s="9">
        <v>7498613</v>
      </c>
      <c r="C750" s="9" t="s">
        <v>2141</v>
      </c>
      <c r="D750" s="9">
        <v>120171974</v>
      </c>
      <c r="E750" s="9" t="s">
        <v>2733</v>
      </c>
      <c r="F750" s="11" t="s">
        <v>2734</v>
      </c>
      <c r="G750" s="9"/>
      <c r="H750" t="s">
        <v>17</v>
      </c>
    </row>
    <row r="751" spans="1:8" ht="15" customHeight="1" x14ac:dyDescent="0.3">
      <c r="A751" s="9" t="s">
        <v>247</v>
      </c>
      <c r="B751" s="9">
        <v>7498613</v>
      </c>
      <c r="C751" s="9" t="s">
        <v>2525</v>
      </c>
      <c r="D751" s="9">
        <v>120171975</v>
      </c>
      <c r="E751" s="9" t="s">
        <v>2733</v>
      </c>
      <c r="F751" s="11" t="s">
        <v>2734</v>
      </c>
      <c r="G751" s="9"/>
      <c r="H751" t="s">
        <v>17</v>
      </c>
    </row>
    <row r="752" spans="1:8" ht="15" customHeight="1" x14ac:dyDescent="0.3">
      <c r="A752" s="9" t="s">
        <v>2214</v>
      </c>
      <c r="B752" s="9">
        <v>120171914</v>
      </c>
      <c r="C752" s="9" t="s">
        <v>2142</v>
      </c>
      <c r="D752" s="9">
        <v>120171976</v>
      </c>
      <c r="E752" s="9" t="s">
        <v>2733</v>
      </c>
      <c r="F752" s="11" t="s">
        <v>2734</v>
      </c>
      <c r="G752" s="9"/>
      <c r="H752" t="s">
        <v>17</v>
      </c>
    </row>
    <row r="753" spans="1:8" ht="15" customHeight="1" x14ac:dyDescent="0.3">
      <c r="A753" s="9" t="s">
        <v>2214</v>
      </c>
      <c r="B753" s="9">
        <v>120171914</v>
      </c>
      <c r="C753" s="9" t="s">
        <v>2143</v>
      </c>
      <c r="D753" s="9">
        <v>120171977</v>
      </c>
      <c r="E753" s="9" t="s">
        <v>2733</v>
      </c>
      <c r="F753" s="11" t="s">
        <v>2734</v>
      </c>
      <c r="G753" s="9"/>
      <c r="H753" t="s">
        <v>17</v>
      </c>
    </row>
    <row r="754" spans="1:8" ht="15" customHeight="1" x14ac:dyDescent="0.3">
      <c r="A754" s="9" t="s">
        <v>2463</v>
      </c>
      <c r="B754" s="9">
        <v>520170</v>
      </c>
      <c r="C754" s="9" t="s">
        <v>2144</v>
      </c>
      <c r="D754" s="9">
        <v>120171978</v>
      </c>
      <c r="E754" s="9" t="s">
        <v>2733</v>
      </c>
      <c r="F754" s="11" t="s">
        <v>2734</v>
      </c>
      <c r="G754" s="9"/>
      <c r="H754" t="s">
        <v>17</v>
      </c>
    </row>
    <row r="755" spans="1:8" ht="15" customHeight="1" x14ac:dyDescent="0.3">
      <c r="A755" s="9" t="s">
        <v>2463</v>
      </c>
      <c r="B755" s="9">
        <v>520170</v>
      </c>
      <c r="C755" s="9" t="s">
        <v>2145</v>
      </c>
      <c r="D755" s="9">
        <v>120171979</v>
      </c>
      <c r="E755" s="9" t="s">
        <v>2733</v>
      </c>
      <c r="F755" s="11" t="s">
        <v>2734</v>
      </c>
      <c r="G755" s="9"/>
      <c r="H755" t="s">
        <v>17</v>
      </c>
    </row>
    <row r="756" spans="1:8" ht="15" customHeight="1" x14ac:dyDescent="0.3">
      <c r="A756" s="9" t="s">
        <v>2463</v>
      </c>
      <c r="B756" s="9">
        <v>520170</v>
      </c>
      <c r="C756" s="9" t="s">
        <v>2146</v>
      </c>
      <c r="D756" s="9">
        <v>120171980</v>
      </c>
      <c r="E756" s="9" t="s">
        <v>2733</v>
      </c>
      <c r="F756" s="11" t="s">
        <v>2734</v>
      </c>
      <c r="G756" s="9"/>
      <c r="H756" t="s">
        <v>17</v>
      </c>
    </row>
    <row r="757" spans="1:8" ht="15" customHeight="1" x14ac:dyDescent="0.3">
      <c r="A757" s="9" t="s">
        <v>2463</v>
      </c>
      <c r="B757" s="9">
        <v>520170</v>
      </c>
      <c r="C757" s="9" t="s">
        <v>2147</v>
      </c>
      <c r="D757" s="9">
        <v>120171981</v>
      </c>
      <c r="E757" s="9" t="s">
        <v>2733</v>
      </c>
      <c r="F757" s="11" t="s">
        <v>2734</v>
      </c>
      <c r="G757" s="9"/>
      <c r="H757" t="s">
        <v>17</v>
      </c>
    </row>
    <row r="758" spans="1:8" ht="15" customHeight="1" x14ac:dyDescent="0.3">
      <c r="A758" s="9" t="s">
        <v>2463</v>
      </c>
      <c r="B758" s="9">
        <v>520170</v>
      </c>
      <c r="C758" s="9" t="s">
        <v>2148</v>
      </c>
      <c r="D758" s="9">
        <v>120171982</v>
      </c>
      <c r="E758" s="9" t="s">
        <v>2733</v>
      </c>
      <c r="F758" s="11" t="s">
        <v>2734</v>
      </c>
      <c r="G758" s="9"/>
      <c r="H758" t="s">
        <v>17</v>
      </c>
    </row>
    <row r="759" spans="1:8" ht="15" customHeight="1" x14ac:dyDescent="0.3">
      <c r="A759" s="9" t="s">
        <v>2463</v>
      </c>
      <c r="B759" s="9">
        <v>520170</v>
      </c>
      <c r="C759" s="9" t="s">
        <v>2149</v>
      </c>
      <c r="D759" s="9">
        <v>120171983</v>
      </c>
      <c r="E759" s="9" t="s">
        <v>2733</v>
      </c>
      <c r="F759" s="11" t="s">
        <v>2734</v>
      </c>
      <c r="G759" s="9"/>
      <c r="H759" t="s">
        <v>17</v>
      </c>
    </row>
    <row r="760" spans="1:8" ht="15" customHeight="1" x14ac:dyDescent="0.3">
      <c r="A760" s="9" t="s">
        <v>2463</v>
      </c>
      <c r="B760" s="9">
        <v>520170</v>
      </c>
      <c r="C760" s="9" t="s">
        <v>2150</v>
      </c>
      <c r="D760" s="9">
        <v>120171984</v>
      </c>
      <c r="E760" s="9" t="s">
        <v>2733</v>
      </c>
      <c r="F760" s="11" t="s">
        <v>2734</v>
      </c>
      <c r="G760" s="9"/>
      <c r="H760" t="s">
        <v>17</v>
      </c>
    </row>
    <row r="761" spans="1:8" ht="15" customHeight="1" x14ac:dyDescent="0.3">
      <c r="A761" s="9" t="s">
        <v>215</v>
      </c>
      <c r="B761" s="9">
        <v>7498610</v>
      </c>
      <c r="C761" s="9" t="s">
        <v>2151</v>
      </c>
      <c r="D761" s="9">
        <v>120171985</v>
      </c>
      <c r="E761" s="9" t="s">
        <v>2733</v>
      </c>
      <c r="F761" s="11" t="s">
        <v>2734</v>
      </c>
      <c r="G761" s="9"/>
      <c r="H761" t="s">
        <v>17</v>
      </c>
    </row>
    <row r="762" spans="1:8" ht="15" customHeight="1" x14ac:dyDescent="0.3">
      <c r="A762" s="9" t="s">
        <v>215</v>
      </c>
      <c r="B762" s="9">
        <v>7498610</v>
      </c>
      <c r="C762" s="9" t="s">
        <v>2152</v>
      </c>
      <c r="D762" s="9">
        <v>120171986</v>
      </c>
      <c r="E762" s="9" t="s">
        <v>2733</v>
      </c>
      <c r="F762" s="11" t="s">
        <v>2734</v>
      </c>
      <c r="G762" s="9"/>
      <c r="H762" t="s">
        <v>17</v>
      </c>
    </row>
    <row r="763" spans="1:8" ht="15" customHeight="1" x14ac:dyDescent="0.3">
      <c r="A763" s="9" t="s">
        <v>215</v>
      </c>
      <c r="B763" s="9">
        <v>7498610</v>
      </c>
      <c r="C763" s="9" t="s">
        <v>2504</v>
      </c>
      <c r="D763" s="9">
        <v>120171987</v>
      </c>
      <c r="E763" s="9" t="s">
        <v>2733</v>
      </c>
      <c r="F763" s="11" t="s">
        <v>2734</v>
      </c>
      <c r="G763" s="9"/>
      <c r="H763" t="s">
        <v>17</v>
      </c>
    </row>
    <row r="764" spans="1:8" ht="15" customHeight="1" x14ac:dyDescent="0.3">
      <c r="A764" s="9" t="s">
        <v>2154</v>
      </c>
      <c r="B764" s="9">
        <v>120171913</v>
      </c>
      <c r="C764" s="9" t="s">
        <v>2153</v>
      </c>
      <c r="D764" s="9">
        <v>120171988</v>
      </c>
      <c r="E764" s="9" t="s">
        <v>2733</v>
      </c>
      <c r="F764" s="11" t="s">
        <v>2734</v>
      </c>
      <c r="G764" s="9"/>
      <c r="H764" t="s">
        <v>17</v>
      </c>
    </row>
    <row r="765" spans="1:8" ht="15" customHeight="1" x14ac:dyDescent="0.3">
      <c r="A765" s="9" t="s">
        <v>2154</v>
      </c>
      <c r="B765" s="9">
        <v>120171913</v>
      </c>
      <c r="C765" s="9" t="s">
        <v>2155</v>
      </c>
      <c r="D765" s="9">
        <v>120171989</v>
      </c>
      <c r="E765" s="9" t="s">
        <v>2733</v>
      </c>
      <c r="F765" s="11" t="s">
        <v>2734</v>
      </c>
      <c r="G765" s="9"/>
      <c r="H765" t="s">
        <v>17</v>
      </c>
    </row>
    <row r="766" spans="1:8" ht="15" customHeight="1" x14ac:dyDescent="0.3">
      <c r="A766" s="9" t="s">
        <v>353</v>
      </c>
      <c r="B766" s="9">
        <v>523553</v>
      </c>
      <c r="C766" s="9" t="s">
        <v>352</v>
      </c>
      <c r="D766" s="9">
        <v>101035089</v>
      </c>
      <c r="E766" s="9" t="s">
        <v>2733</v>
      </c>
      <c r="F766" s="11" t="s">
        <v>2734</v>
      </c>
      <c r="G766" s="9"/>
      <c r="H766" t="s">
        <v>17</v>
      </c>
    </row>
    <row r="767" spans="1:8" ht="15" customHeight="1" x14ac:dyDescent="0.3">
      <c r="A767" s="9" t="s">
        <v>2490</v>
      </c>
      <c r="B767" s="9">
        <v>7498609</v>
      </c>
      <c r="C767" s="9" t="s">
        <v>2156</v>
      </c>
      <c r="D767" s="9">
        <v>120171990</v>
      </c>
      <c r="E767" s="9" t="s">
        <v>2733</v>
      </c>
      <c r="F767" s="11" t="s">
        <v>2734</v>
      </c>
      <c r="G767" s="9"/>
      <c r="H767" t="s">
        <v>17</v>
      </c>
    </row>
    <row r="768" spans="1:8" ht="15" customHeight="1" x14ac:dyDescent="0.3">
      <c r="A768" s="9" t="s">
        <v>2490</v>
      </c>
      <c r="B768" s="9">
        <v>7498609</v>
      </c>
      <c r="C768" s="9" t="s">
        <v>2157</v>
      </c>
      <c r="D768" s="9">
        <v>101058735</v>
      </c>
      <c r="E768" s="9" t="s">
        <v>2733</v>
      </c>
      <c r="F768" s="11" t="s">
        <v>2734</v>
      </c>
      <c r="G768" s="9"/>
      <c r="H768" t="s">
        <v>17</v>
      </c>
    </row>
    <row r="769" spans="1:8" ht="15" customHeight="1" x14ac:dyDescent="0.3">
      <c r="A769" s="9" t="s">
        <v>2490</v>
      </c>
      <c r="B769" s="9">
        <v>7498609</v>
      </c>
      <c r="C769" s="9" t="s">
        <v>2158</v>
      </c>
      <c r="D769" s="9">
        <v>120171992</v>
      </c>
      <c r="E769" s="9" t="s">
        <v>2733</v>
      </c>
      <c r="F769" s="11" t="s">
        <v>2734</v>
      </c>
      <c r="G769" s="9"/>
      <c r="H769" t="s">
        <v>17</v>
      </c>
    </row>
    <row r="770" spans="1:8" ht="15" customHeight="1" x14ac:dyDescent="0.3">
      <c r="A770" s="9" t="s">
        <v>2490</v>
      </c>
      <c r="B770" s="9">
        <v>7498609</v>
      </c>
      <c r="C770" s="9" t="s">
        <v>2159</v>
      </c>
      <c r="D770" s="9">
        <v>120171993</v>
      </c>
      <c r="E770" s="9" t="s">
        <v>2733</v>
      </c>
      <c r="F770" s="11" t="s">
        <v>2734</v>
      </c>
      <c r="G770" s="9"/>
      <c r="H770" t="s">
        <v>17</v>
      </c>
    </row>
    <row r="771" spans="1:8" ht="15" customHeight="1" x14ac:dyDescent="0.3">
      <c r="A771" s="9" t="s">
        <v>2490</v>
      </c>
      <c r="B771" s="9">
        <v>7498609</v>
      </c>
      <c r="C771" s="9" t="s">
        <v>2157</v>
      </c>
      <c r="D771" s="9">
        <v>101058735</v>
      </c>
      <c r="E771" s="9" t="s">
        <v>2733</v>
      </c>
      <c r="F771" s="11" t="s">
        <v>2734</v>
      </c>
      <c r="G771" s="9"/>
      <c r="H771" t="s">
        <v>17</v>
      </c>
    </row>
    <row r="772" spans="1:8" ht="15" customHeight="1" x14ac:dyDescent="0.3">
      <c r="A772" s="9" t="s">
        <v>2196</v>
      </c>
      <c r="B772" s="9">
        <v>120171910</v>
      </c>
      <c r="C772" s="9" t="s">
        <v>2160</v>
      </c>
      <c r="D772" s="9">
        <v>120171994</v>
      </c>
      <c r="E772" s="9" t="s">
        <v>2733</v>
      </c>
      <c r="F772" s="11" t="s">
        <v>2734</v>
      </c>
      <c r="G772" s="9"/>
      <c r="H772" t="s">
        <v>17</v>
      </c>
    </row>
    <row r="773" spans="1:8" ht="15" customHeight="1" x14ac:dyDescent="0.3">
      <c r="A773" s="9" t="s">
        <v>2196</v>
      </c>
      <c r="B773" s="9">
        <v>120171910</v>
      </c>
      <c r="C773" s="9" t="s">
        <v>2161</v>
      </c>
      <c r="D773" s="9">
        <v>120171995</v>
      </c>
      <c r="E773" s="9" t="s">
        <v>2733</v>
      </c>
      <c r="F773" s="11" t="s">
        <v>2734</v>
      </c>
      <c r="G773" s="9"/>
      <c r="H773" t="s">
        <v>17</v>
      </c>
    </row>
    <row r="774" spans="1:8" ht="15" customHeight="1" x14ac:dyDescent="0.3">
      <c r="A774" s="9" t="s">
        <v>2163</v>
      </c>
      <c r="B774" s="9">
        <v>120171923</v>
      </c>
      <c r="C774" s="9" t="s">
        <v>2162</v>
      </c>
      <c r="D774" s="9">
        <v>120171996</v>
      </c>
      <c r="E774" s="9" t="s">
        <v>2733</v>
      </c>
      <c r="F774" s="11" t="s">
        <v>2734</v>
      </c>
      <c r="G774" s="9"/>
      <c r="H774" t="s">
        <v>17</v>
      </c>
    </row>
    <row r="775" spans="1:8" ht="15" customHeight="1" x14ac:dyDescent="0.3">
      <c r="A775" s="9" t="s">
        <v>2206</v>
      </c>
      <c r="B775" s="9">
        <v>120171912</v>
      </c>
      <c r="C775" s="9" t="s">
        <v>2205</v>
      </c>
      <c r="D775" s="9">
        <v>120171997</v>
      </c>
      <c r="E775" s="9" t="s">
        <v>2733</v>
      </c>
      <c r="F775" s="11" t="s">
        <v>2734</v>
      </c>
      <c r="G775" s="9"/>
      <c r="H775" t="s">
        <v>17</v>
      </c>
    </row>
    <row r="776" spans="1:8" ht="15" customHeight="1" x14ac:dyDescent="0.3">
      <c r="A776" s="9" t="s">
        <v>2165</v>
      </c>
      <c r="B776" s="9">
        <v>120171924</v>
      </c>
      <c r="C776" s="9" t="s">
        <v>2164</v>
      </c>
      <c r="D776" s="9">
        <v>120171998</v>
      </c>
      <c r="E776" s="9" t="s">
        <v>2733</v>
      </c>
      <c r="F776" s="11" t="s">
        <v>2734</v>
      </c>
      <c r="G776" s="9"/>
      <c r="H776" t="s">
        <v>17</v>
      </c>
    </row>
    <row r="777" spans="1:8" ht="15" customHeight="1" x14ac:dyDescent="0.3">
      <c r="A777" s="9" t="s">
        <v>2165</v>
      </c>
      <c r="B777" s="9">
        <v>120171924</v>
      </c>
      <c r="C777" s="9" t="s">
        <v>2166</v>
      </c>
      <c r="D777" s="9">
        <v>120171999</v>
      </c>
      <c r="E777" s="9" t="s">
        <v>2733</v>
      </c>
      <c r="F777" s="11" t="s">
        <v>2734</v>
      </c>
      <c r="G777" s="9"/>
      <c r="H777" t="s">
        <v>17</v>
      </c>
    </row>
    <row r="778" spans="1:8" ht="15" customHeight="1" x14ac:dyDescent="0.3">
      <c r="A778" s="9" t="s">
        <v>2168</v>
      </c>
      <c r="B778" s="9">
        <v>120171925</v>
      </c>
      <c r="C778" s="9" t="s">
        <v>2167</v>
      </c>
      <c r="D778" s="9">
        <v>120172000</v>
      </c>
      <c r="E778" s="9" t="s">
        <v>2733</v>
      </c>
      <c r="F778" s="11" t="s">
        <v>2734</v>
      </c>
      <c r="G778" s="9"/>
      <c r="H778" t="s">
        <v>17</v>
      </c>
    </row>
    <row r="779" spans="1:8" ht="15" customHeight="1" x14ac:dyDescent="0.3">
      <c r="A779" s="9" t="s">
        <v>2168</v>
      </c>
      <c r="B779" s="9">
        <v>120171925</v>
      </c>
      <c r="C779" s="9" t="s">
        <v>2169</v>
      </c>
      <c r="D779" s="9">
        <v>120172001</v>
      </c>
      <c r="E779" s="9" t="s">
        <v>2733</v>
      </c>
      <c r="F779" s="11" t="s">
        <v>2734</v>
      </c>
      <c r="G779" s="9"/>
      <c r="H779" t="s">
        <v>17</v>
      </c>
    </row>
    <row r="780" spans="1:8" ht="15" customHeight="1" x14ac:dyDescent="0.3">
      <c r="A780" s="9" t="s">
        <v>2171</v>
      </c>
      <c r="B780" s="9">
        <v>120171926</v>
      </c>
      <c r="C780" s="9" t="s">
        <v>2170</v>
      </c>
      <c r="D780" s="9">
        <v>120172002</v>
      </c>
      <c r="E780" s="9" t="s">
        <v>2733</v>
      </c>
      <c r="F780" s="11" t="s">
        <v>2734</v>
      </c>
      <c r="G780" s="9"/>
      <c r="H780" t="s">
        <v>17</v>
      </c>
    </row>
    <row r="781" spans="1:8" ht="15" customHeight="1" x14ac:dyDescent="0.3">
      <c r="A781" s="9" t="s">
        <v>2398</v>
      </c>
      <c r="B781" s="9">
        <v>514380</v>
      </c>
      <c r="C781" s="9" t="s">
        <v>2401</v>
      </c>
      <c r="D781" s="9">
        <v>120172003</v>
      </c>
      <c r="E781" s="9" t="s">
        <v>2733</v>
      </c>
      <c r="F781" s="11" t="s">
        <v>2734</v>
      </c>
      <c r="G781" s="9"/>
      <c r="H781" t="s">
        <v>17</v>
      </c>
    </row>
    <row r="782" spans="1:8" ht="15" customHeight="1" x14ac:dyDescent="0.3">
      <c r="A782" s="9" t="s">
        <v>2398</v>
      </c>
      <c r="B782" s="9">
        <v>514380</v>
      </c>
      <c r="C782" s="9" t="s">
        <v>2172</v>
      </c>
      <c r="D782" s="9">
        <v>120172004</v>
      </c>
      <c r="E782" s="9" t="s">
        <v>2733</v>
      </c>
      <c r="F782" s="11" t="s">
        <v>2734</v>
      </c>
      <c r="G782" s="9"/>
      <c r="H782" t="s">
        <v>17</v>
      </c>
    </row>
    <row r="783" spans="1:8" ht="15" customHeight="1" x14ac:dyDescent="0.3">
      <c r="A783" s="9" t="s">
        <v>2359</v>
      </c>
      <c r="B783" s="9">
        <v>7487916</v>
      </c>
      <c r="C783" s="9" t="s">
        <v>2173</v>
      </c>
      <c r="D783" s="9">
        <v>120172005</v>
      </c>
      <c r="E783" s="9" t="s">
        <v>2733</v>
      </c>
      <c r="F783" s="11" t="s">
        <v>2734</v>
      </c>
      <c r="G783" s="9"/>
      <c r="H783" t="s">
        <v>17</v>
      </c>
    </row>
    <row r="784" spans="1:8" ht="15" customHeight="1" x14ac:dyDescent="0.3">
      <c r="A784" s="9" t="s">
        <v>2359</v>
      </c>
      <c r="B784" s="9">
        <v>7487916</v>
      </c>
      <c r="C784" s="9" t="s">
        <v>2174</v>
      </c>
      <c r="D784" s="9">
        <v>120172006</v>
      </c>
      <c r="E784" s="9" t="s">
        <v>2733</v>
      </c>
      <c r="F784" s="11" t="s">
        <v>2734</v>
      </c>
      <c r="G784" s="9"/>
      <c r="H784" t="s">
        <v>17</v>
      </c>
    </row>
    <row r="785" spans="1:8" ht="15" customHeight="1" x14ac:dyDescent="0.3">
      <c r="A785" s="9" t="s">
        <v>2359</v>
      </c>
      <c r="B785" s="9">
        <v>7487916</v>
      </c>
      <c r="C785" s="9" t="s">
        <v>2175</v>
      </c>
      <c r="D785" s="9">
        <v>120172007</v>
      </c>
      <c r="E785" s="9" t="s">
        <v>2733</v>
      </c>
      <c r="F785" s="11" t="s">
        <v>2734</v>
      </c>
      <c r="G785" s="9"/>
      <c r="H785" t="s">
        <v>17</v>
      </c>
    </row>
    <row r="786" spans="1:8" ht="15" customHeight="1" x14ac:dyDescent="0.3">
      <c r="A786" s="9" t="s">
        <v>95</v>
      </c>
      <c r="B786" s="9">
        <v>7487916</v>
      </c>
      <c r="C786" s="9" t="s">
        <v>159</v>
      </c>
      <c r="D786" s="9">
        <v>101361948</v>
      </c>
      <c r="E786" s="9" t="s">
        <v>2733</v>
      </c>
      <c r="F786" s="11" t="s">
        <v>2734</v>
      </c>
      <c r="G786" s="9"/>
      <c r="H786" t="s">
        <v>17</v>
      </c>
    </row>
    <row r="787" spans="1:8" ht="15" customHeight="1" x14ac:dyDescent="0.3">
      <c r="A787" s="9" t="s">
        <v>2359</v>
      </c>
      <c r="B787" s="9">
        <v>7487916</v>
      </c>
      <c r="C787" s="9" t="s">
        <v>2636</v>
      </c>
      <c r="D787" s="9">
        <v>120172008</v>
      </c>
      <c r="E787" s="9" t="s">
        <v>2733</v>
      </c>
      <c r="F787" s="11" t="s">
        <v>2734</v>
      </c>
      <c r="G787" s="9"/>
      <c r="H787" t="s">
        <v>17</v>
      </c>
    </row>
    <row r="788" spans="1:8" ht="15" customHeight="1" x14ac:dyDescent="0.3">
      <c r="A788" s="9" t="s">
        <v>2359</v>
      </c>
      <c r="B788" s="9">
        <v>7487916</v>
      </c>
      <c r="C788" s="9" t="s">
        <v>2176</v>
      </c>
      <c r="D788" s="9">
        <v>120172009</v>
      </c>
      <c r="E788" s="9" t="s">
        <v>2733</v>
      </c>
      <c r="F788" s="11" t="s">
        <v>2734</v>
      </c>
      <c r="G788" s="9"/>
      <c r="H788" t="s">
        <v>17</v>
      </c>
    </row>
    <row r="789" spans="1:8" ht="15" customHeight="1" x14ac:dyDescent="0.3">
      <c r="A789" s="9" t="s">
        <v>95</v>
      </c>
      <c r="B789" s="9">
        <v>7487916</v>
      </c>
      <c r="C789" s="9" t="s">
        <v>154</v>
      </c>
      <c r="D789" s="9">
        <v>101361943</v>
      </c>
      <c r="E789" s="9" t="s">
        <v>2733</v>
      </c>
      <c r="F789" s="11" t="s">
        <v>2734</v>
      </c>
      <c r="G789" s="9"/>
      <c r="H789" t="s">
        <v>17</v>
      </c>
    </row>
    <row r="790" spans="1:8" ht="15" customHeight="1" x14ac:dyDescent="0.3">
      <c r="A790" s="9" t="s">
        <v>2178</v>
      </c>
      <c r="B790" s="9">
        <v>120171844</v>
      </c>
      <c r="C790" s="9" t="s">
        <v>2177</v>
      </c>
      <c r="D790" s="9">
        <v>120172020</v>
      </c>
      <c r="E790" s="9" t="s">
        <v>2733</v>
      </c>
      <c r="F790" s="11" t="s">
        <v>2734</v>
      </c>
      <c r="G790" s="9"/>
      <c r="H790" t="s">
        <v>17</v>
      </c>
    </row>
    <row r="791" spans="1:8" ht="15" customHeight="1" x14ac:dyDescent="0.3">
      <c r="A791" s="9" t="s">
        <v>2180</v>
      </c>
      <c r="B791" s="9">
        <v>7498601</v>
      </c>
      <c r="C791" s="9" t="s">
        <v>2179</v>
      </c>
      <c r="D791" s="9">
        <v>120172021</v>
      </c>
      <c r="E791" s="9" t="s">
        <v>2733</v>
      </c>
      <c r="F791" s="11" t="s">
        <v>2734</v>
      </c>
      <c r="G791" s="9"/>
      <c r="H791" t="s">
        <v>17</v>
      </c>
    </row>
    <row r="792" spans="1:8" ht="15" customHeight="1" x14ac:dyDescent="0.3">
      <c r="A792" s="9" t="s">
        <v>2180</v>
      </c>
      <c r="B792" s="9">
        <v>7498601</v>
      </c>
      <c r="C792" s="9" t="s">
        <v>2181</v>
      </c>
      <c r="D792" s="9">
        <v>120172022</v>
      </c>
      <c r="E792" s="9" t="s">
        <v>2733</v>
      </c>
      <c r="F792" s="11" t="s">
        <v>2734</v>
      </c>
      <c r="G792" s="9"/>
      <c r="H792" t="s">
        <v>17</v>
      </c>
    </row>
    <row r="793" spans="1:8" ht="15" customHeight="1" x14ac:dyDescent="0.3">
      <c r="A793" s="9" t="s">
        <v>2180</v>
      </c>
      <c r="B793" s="9">
        <v>7498601</v>
      </c>
      <c r="C793" s="9" t="s">
        <v>2182</v>
      </c>
      <c r="D793" s="9">
        <v>101059015</v>
      </c>
      <c r="E793" s="9" t="s">
        <v>2733</v>
      </c>
      <c r="F793" s="11" t="s">
        <v>2734</v>
      </c>
      <c r="G793" s="9"/>
      <c r="H793" t="s">
        <v>17</v>
      </c>
    </row>
    <row r="794" spans="1:8" ht="15" customHeight="1" x14ac:dyDescent="0.3">
      <c r="A794" s="9" t="s">
        <v>2184</v>
      </c>
      <c r="B794" s="9">
        <v>120171918</v>
      </c>
      <c r="C794" s="9" t="s">
        <v>2183</v>
      </c>
      <c r="D794" s="9">
        <v>120172023</v>
      </c>
      <c r="E794" s="9" t="s">
        <v>2733</v>
      </c>
      <c r="F794" s="11" t="s">
        <v>2734</v>
      </c>
      <c r="G794" s="9"/>
      <c r="H794" t="s">
        <v>17</v>
      </c>
    </row>
    <row r="795" spans="1:8" ht="15" customHeight="1" x14ac:dyDescent="0.3">
      <c r="A795" s="9" t="s">
        <v>2184</v>
      </c>
      <c r="B795" s="9">
        <v>120171918</v>
      </c>
      <c r="C795" s="9" t="s">
        <v>2185</v>
      </c>
      <c r="D795" s="9">
        <v>120172024</v>
      </c>
      <c r="E795" s="9" t="s">
        <v>2733</v>
      </c>
      <c r="F795" s="11" t="s">
        <v>2734</v>
      </c>
      <c r="G795" s="9"/>
      <c r="H795" t="s">
        <v>17</v>
      </c>
    </row>
    <row r="796" spans="1:8" ht="15" customHeight="1" x14ac:dyDescent="0.3">
      <c r="A796" s="9" t="s">
        <v>2184</v>
      </c>
      <c r="B796" s="9">
        <v>120171918</v>
      </c>
      <c r="C796" s="9" t="s">
        <v>2186</v>
      </c>
      <c r="D796" s="9">
        <v>120172025</v>
      </c>
      <c r="E796" s="9" t="s">
        <v>2733</v>
      </c>
      <c r="F796" s="11" t="s">
        <v>2734</v>
      </c>
      <c r="G796" s="9"/>
      <c r="H796" t="s">
        <v>17</v>
      </c>
    </row>
    <row r="797" spans="1:8" ht="15" customHeight="1" x14ac:dyDescent="0.3">
      <c r="A797" s="9" t="s">
        <v>2000</v>
      </c>
      <c r="B797" s="9">
        <v>7498597</v>
      </c>
      <c r="C797" s="9" t="s">
        <v>2012</v>
      </c>
      <c r="D797" s="9">
        <v>120169716</v>
      </c>
      <c r="E797" s="9" t="s">
        <v>2733</v>
      </c>
      <c r="F797" s="11" t="s">
        <v>2734</v>
      </c>
      <c r="G797" s="9"/>
      <c r="H797" t="s">
        <v>17</v>
      </c>
    </row>
    <row r="798" spans="1:8" ht="15" customHeight="1" x14ac:dyDescent="0.3">
      <c r="A798" s="9" t="s">
        <v>175</v>
      </c>
      <c r="B798" s="9">
        <v>7498596</v>
      </c>
      <c r="C798" s="9" t="s">
        <v>181</v>
      </c>
      <c r="D798" s="9">
        <v>101362239</v>
      </c>
      <c r="E798" s="9" t="s">
        <v>2733</v>
      </c>
      <c r="F798" s="11" t="s">
        <v>2734</v>
      </c>
      <c r="G798" s="9"/>
      <c r="H798" t="s">
        <v>17</v>
      </c>
    </row>
    <row r="799" spans="1:8" ht="15" customHeight="1" x14ac:dyDescent="0.3">
      <c r="A799" s="9" t="s">
        <v>175</v>
      </c>
      <c r="B799" s="9">
        <v>7498596</v>
      </c>
      <c r="C799" s="9" t="s">
        <v>174</v>
      </c>
      <c r="D799" s="9">
        <v>101362242</v>
      </c>
      <c r="E799" s="9" t="s">
        <v>2733</v>
      </c>
      <c r="F799" s="11" t="s">
        <v>2734</v>
      </c>
      <c r="G799" s="9"/>
      <c r="H799" t="s">
        <v>17</v>
      </c>
    </row>
    <row r="800" spans="1:8" ht="15" customHeight="1" x14ac:dyDescent="0.3">
      <c r="A800" s="9" t="s">
        <v>175</v>
      </c>
      <c r="B800" s="9">
        <v>7498596</v>
      </c>
      <c r="C800" s="9" t="s">
        <v>2187</v>
      </c>
      <c r="D800" s="9">
        <v>120172026</v>
      </c>
      <c r="E800" s="9" t="s">
        <v>2733</v>
      </c>
      <c r="F800" s="11" t="s">
        <v>2734</v>
      </c>
      <c r="G800" s="9"/>
      <c r="H800" t="s">
        <v>17</v>
      </c>
    </row>
    <row r="801" spans="1:10" ht="15" customHeight="1" x14ac:dyDescent="0.3">
      <c r="A801" s="9" t="s">
        <v>2324</v>
      </c>
      <c r="B801" s="9">
        <v>508073</v>
      </c>
      <c r="C801" s="9" t="s">
        <v>2188</v>
      </c>
      <c r="D801" s="9">
        <v>120172027</v>
      </c>
      <c r="E801" s="9" t="s">
        <v>2733</v>
      </c>
      <c r="F801" s="11" t="s">
        <v>2734</v>
      </c>
      <c r="G801" s="9"/>
      <c r="H801" t="s">
        <v>17</v>
      </c>
    </row>
    <row r="802" spans="1:10" ht="15" customHeight="1" x14ac:dyDescent="0.3">
      <c r="A802" s="9" t="s">
        <v>2190</v>
      </c>
      <c r="B802" s="9">
        <v>120171917</v>
      </c>
      <c r="C802" s="9" t="s">
        <v>2189</v>
      </c>
      <c r="D802" s="9">
        <v>120172028</v>
      </c>
      <c r="E802" s="9" t="s">
        <v>2733</v>
      </c>
      <c r="F802" s="11" t="s">
        <v>2734</v>
      </c>
      <c r="G802" s="9"/>
      <c r="H802" t="s">
        <v>17</v>
      </c>
    </row>
    <row r="803" spans="1:10" ht="15" customHeight="1" x14ac:dyDescent="0.3">
      <c r="A803" s="9" t="s">
        <v>2232</v>
      </c>
      <c r="B803" s="9">
        <v>120171916</v>
      </c>
      <c r="C803" s="9" t="s">
        <v>2191</v>
      </c>
      <c r="D803" s="9">
        <v>120172029</v>
      </c>
      <c r="E803" s="9" t="s">
        <v>2733</v>
      </c>
      <c r="F803" s="11" t="s">
        <v>2734</v>
      </c>
      <c r="G803" s="9"/>
      <c r="H803" t="s">
        <v>17</v>
      </c>
    </row>
    <row r="804" spans="1:10" s="9" customFormat="1" ht="15" customHeight="1" x14ac:dyDescent="0.3">
      <c r="A804" s="9" t="s">
        <v>2087</v>
      </c>
      <c r="B804" s="9">
        <v>532861</v>
      </c>
      <c r="C804" s="9" t="s">
        <v>2735</v>
      </c>
      <c r="D804" s="9">
        <v>100315017</v>
      </c>
      <c r="E804" s="9" t="s">
        <v>2736</v>
      </c>
      <c r="F804" s="11" t="s">
        <v>2996</v>
      </c>
      <c r="H804" t="s">
        <v>17</v>
      </c>
      <c r="I804" s="9">
        <v>2024</v>
      </c>
      <c r="J804" s="9" t="str">
        <f t="shared" ref="J804:J835" si="0">_xlfn.CONCAT(F804,I804)</f>
        <v>101620242024</v>
      </c>
    </row>
    <row r="805" spans="1:10" s="9" customFormat="1" ht="15" customHeight="1" x14ac:dyDescent="0.3">
      <c r="A805" s="9" t="s">
        <v>2009</v>
      </c>
      <c r="B805" s="9">
        <v>120091794</v>
      </c>
      <c r="C805" s="9" t="s">
        <v>2008</v>
      </c>
      <c r="D805" s="9">
        <v>120171271</v>
      </c>
      <c r="E805" s="9" t="s">
        <v>2737</v>
      </c>
      <c r="F805" s="11" t="s">
        <v>2997</v>
      </c>
      <c r="H805" t="s">
        <v>17</v>
      </c>
      <c r="I805" s="9">
        <v>2024</v>
      </c>
      <c r="J805" s="9" t="str">
        <f t="shared" si="0"/>
        <v>101520242024</v>
      </c>
    </row>
    <row r="806" spans="1:10" s="9" customFormat="1" ht="15" customHeight="1" x14ac:dyDescent="0.3">
      <c r="A806" s="9" t="s">
        <v>2009</v>
      </c>
      <c r="B806" s="9">
        <v>120091794</v>
      </c>
      <c r="C806" s="9" t="s">
        <v>2084</v>
      </c>
      <c r="D806" s="9">
        <v>120091795</v>
      </c>
      <c r="E806" s="9" t="s">
        <v>2737</v>
      </c>
      <c r="F806" s="11" t="s">
        <v>2997</v>
      </c>
      <c r="H806" t="s">
        <v>17</v>
      </c>
      <c r="I806" s="9">
        <v>2024</v>
      </c>
      <c r="J806" s="9" t="str">
        <f t="shared" si="0"/>
        <v>101520242024</v>
      </c>
    </row>
    <row r="807" spans="1:10" s="9" customFormat="1" ht="15" customHeight="1" x14ac:dyDescent="0.3">
      <c r="A807" s="9" t="s">
        <v>1987</v>
      </c>
      <c r="B807" s="9">
        <v>110010046</v>
      </c>
      <c r="C807" s="9" t="s">
        <v>2738</v>
      </c>
      <c r="D807" s="9">
        <v>120141721</v>
      </c>
      <c r="E807" s="9" t="s">
        <v>1555</v>
      </c>
      <c r="F807" s="11" t="s">
        <v>2998</v>
      </c>
      <c r="H807" t="s">
        <v>17</v>
      </c>
      <c r="I807" s="9">
        <v>2024</v>
      </c>
      <c r="J807" s="9" t="str">
        <f t="shared" si="0"/>
        <v>100220242024</v>
      </c>
    </row>
    <row r="808" spans="1:10" s="9" customFormat="1" ht="15" customHeight="1" x14ac:dyDescent="0.3">
      <c r="A808" s="9" t="s">
        <v>39</v>
      </c>
      <c r="B808" s="9">
        <v>534217</v>
      </c>
      <c r="C808" s="9" t="s">
        <v>1991</v>
      </c>
      <c r="D808" s="9">
        <v>100924649</v>
      </c>
      <c r="E808" s="9" t="s">
        <v>1426</v>
      </c>
      <c r="F808" s="11" t="s">
        <v>2999</v>
      </c>
      <c r="I808" s="9">
        <v>2024</v>
      </c>
      <c r="J808" s="9" t="str">
        <f t="shared" si="0"/>
        <v>103020242024</v>
      </c>
    </row>
    <row r="809" spans="1:10" s="9" customFormat="1" ht="15" customHeight="1" x14ac:dyDescent="0.3">
      <c r="A809" s="9" t="s">
        <v>39</v>
      </c>
      <c r="B809" s="9">
        <v>534217</v>
      </c>
      <c r="C809" s="9" t="s">
        <v>1921</v>
      </c>
      <c r="D809" s="9" t="s">
        <v>1931</v>
      </c>
      <c r="E809" s="9" t="s">
        <v>1426</v>
      </c>
      <c r="F809" s="11" t="s">
        <v>2999</v>
      </c>
      <c r="H809" t="s">
        <v>17</v>
      </c>
      <c r="I809" s="9">
        <v>2024</v>
      </c>
      <c r="J809" s="9" t="str">
        <f t="shared" si="0"/>
        <v>103020242024</v>
      </c>
    </row>
    <row r="810" spans="1:10" s="9" customFormat="1" ht="15" customHeight="1" x14ac:dyDescent="0.3">
      <c r="A810" s="9" t="s">
        <v>39</v>
      </c>
      <c r="B810" s="9">
        <v>534217</v>
      </c>
      <c r="C810" s="9" t="s">
        <v>1922</v>
      </c>
      <c r="D810" s="9" t="s">
        <v>1932</v>
      </c>
      <c r="E810" s="9" t="s">
        <v>1426</v>
      </c>
      <c r="F810" s="11" t="s">
        <v>2999</v>
      </c>
      <c r="H810" t="s">
        <v>17</v>
      </c>
      <c r="I810" s="9">
        <v>2024</v>
      </c>
      <c r="J810" s="9" t="str">
        <f t="shared" si="0"/>
        <v>103020242024</v>
      </c>
    </row>
    <row r="811" spans="1:10" s="9" customFormat="1" ht="15" customHeight="1" x14ac:dyDescent="0.3">
      <c r="A811" s="9" t="s">
        <v>39</v>
      </c>
      <c r="B811" s="9">
        <v>534217</v>
      </c>
      <c r="C811" s="9" t="s">
        <v>1923</v>
      </c>
      <c r="D811" s="9" t="s">
        <v>1933</v>
      </c>
      <c r="E811" s="9" t="s">
        <v>1426</v>
      </c>
      <c r="F811" s="11" t="s">
        <v>2999</v>
      </c>
      <c r="H811" t="s">
        <v>17</v>
      </c>
      <c r="I811" s="9">
        <v>2024</v>
      </c>
      <c r="J811" s="9" t="str">
        <f t="shared" si="0"/>
        <v>103020242024</v>
      </c>
    </row>
    <row r="812" spans="1:10" s="9" customFormat="1" ht="15" customHeight="1" x14ac:dyDescent="0.3">
      <c r="A812" s="9" t="s">
        <v>39</v>
      </c>
      <c r="B812" s="9">
        <v>534217</v>
      </c>
      <c r="C812" s="9" t="s">
        <v>1924</v>
      </c>
      <c r="D812" s="9" t="s">
        <v>1934</v>
      </c>
      <c r="E812" s="9" t="s">
        <v>1426</v>
      </c>
      <c r="F812" s="11" t="s">
        <v>2999</v>
      </c>
      <c r="H812" t="s">
        <v>17</v>
      </c>
      <c r="I812" s="9">
        <v>2024</v>
      </c>
      <c r="J812" s="9" t="str">
        <f t="shared" si="0"/>
        <v>103020242024</v>
      </c>
    </row>
    <row r="813" spans="1:10" s="9" customFormat="1" ht="15" customHeight="1" x14ac:dyDescent="0.3">
      <c r="A813" s="9" t="s">
        <v>39</v>
      </c>
      <c r="B813" s="9">
        <v>534217</v>
      </c>
      <c r="C813" s="9" t="s">
        <v>1925</v>
      </c>
      <c r="D813" s="9" t="s">
        <v>1935</v>
      </c>
      <c r="E813" s="9" t="s">
        <v>1426</v>
      </c>
      <c r="F813" s="11" t="s">
        <v>2999</v>
      </c>
      <c r="H813" t="s">
        <v>17</v>
      </c>
      <c r="I813" s="9">
        <v>2024</v>
      </c>
      <c r="J813" s="9" t="str">
        <f t="shared" si="0"/>
        <v>103020242024</v>
      </c>
    </row>
    <row r="814" spans="1:10" s="9" customFormat="1" ht="15" customHeight="1" x14ac:dyDescent="0.3">
      <c r="A814" s="9" t="s">
        <v>39</v>
      </c>
      <c r="B814" s="9">
        <v>534217</v>
      </c>
      <c r="C814" s="9" t="s">
        <v>1926</v>
      </c>
      <c r="D814" s="9" t="s">
        <v>1936</v>
      </c>
      <c r="E814" s="9" t="s">
        <v>1426</v>
      </c>
      <c r="F814" s="11" t="s">
        <v>2999</v>
      </c>
      <c r="H814" t="s">
        <v>17</v>
      </c>
      <c r="I814" s="9">
        <v>2024</v>
      </c>
      <c r="J814" s="9" t="str">
        <f t="shared" si="0"/>
        <v>103020242024</v>
      </c>
    </row>
    <row r="815" spans="1:10" s="9" customFormat="1" ht="15" customHeight="1" x14ac:dyDescent="0.3">
      <c r="A815" s="9" t="s">
        <v>39</v>
      </c>
      <c r="B815" s="9">
        <v>534217</v>
      </c>
      <c r="C815" s="9" t="s">
        <v>1927</v>
      </c>
      <c r="D815" s="9" t="s">
        <v>1937</v>
      </c>
      <c r="E815" s="9" t="s">
        <v>1426</v>
      </c>
      <c r="F815" s="11" t="s">
        <v>2999</v>
      </c>
      <c r="H815" t="s">
        <v>17</v>
      </c>
      <c r="I815" s="9">
        <v>2024</v>
      </c>
      <c r="J815" s="9" t="str">
        <f t="shared" si="0"/>
        <v>103020242024</v>
      </c>
    </row>
    <row r="816" spans="1:10" s="9" customFormat="1" ht="15" customHeight="1" x14ac:dyDescent="0.3">
      <c r="A816" s="9" t="s">
        <v>39</v>
      </c>
      <c r="B816" s="9">
        <v>534217</v>
      </c>
      <c r="C816" s="9" t="s">
        <v>1928</v>
      </c>
      <c r="D816" s="9" t="s">
        <v>1938</v>
      </c>
      <c r="E816" s="9" t="s">
        <v>1426</v>
      </c>
      <c r="F816" s="11" t="s">
        <v>2999</v>
      </c>
      <c r="H816" t="s">
        <v>17</v>
      </c>
      <c r="I816" s="9">
        <v>2024</v>
      </c>
      <c r="J816" s="9" t="str">
        <f t="shared" si="0"/>
        <v>103020242024</v>
      </c>
    </row>
    <row r="817" spans="1:10" s="9" customFormat="1" ht="15" customHeight="1" x14ac:dyDescent="0.3">
      <c r="A817" s="9" t="s">
        <v>39</v>
      </c>
      <c r="B817" s="9">
        <v>534217</v>
      </c>
      <c r="C817" s="9" t="s">
        <v>1929</v>
      </c>
      <c r="D817" s="9" t="s">
        <v>1939</v>
      </c>
      <c r="E817" s="9" t="s">
        <v>1426</v>
      </c>
      <c r="F817" s="11" t="s">
        <v>2999</v>
      </c>
      <c r="H817" t="s">
        <v>17</v>
      </c>
      <c r="I817" s="9">
        <v>2024</v>
      </c>
      <c r="J817" s="9" t="str">
        <f t="shared" si="0"/>
        <v>103020242024</v>
      </c>
    </row>
    <row r="818" spans="1:10" s="9" customFormat="1" ht="15" customHeight="1" x14ac:dyDescent="0.3">
      <c r="A818" s="9" t="s">
        <v>3017</v>
      </c>
      <c r="B818" s="9">
        <v>507143</v>
      </c>
      <c r="C818" s="9" t="s">
        <v>1930</v>
      </c>
      <c r="D818" s="9" t="s">
        <v>3016</v>
      </c>
      <c r="E818" s="9" t="s">
        <v>1426</v>
      </c>
      <c r="F818" s="11" t="s">
        <v>2999</v>
      </c>
      <c r="H818" t="s">
        <v>17</v>
      </c>
      <c r="I818" s="9">
        <v>2024</v>
      </c>
      <c r="J818" s="9" t="str">
        <f t="shared" si="0"/>
        <v>103020242024</v>
      </c>
    </row>
    <row r="819" spans="1:10" s="9" customFormat="1" ht="15" customHeight="1" x14ac:dyDescent="0.3">
      <c r="A819" s="9" t="s">
        <v>68</v>
      </c>
      <c r="B819" s="9">
        <v>7477816</v>
      </c>
      <c r="C819" s="9" t="s">
        <v>2739</v>
      </c>
      <c r="D819" s="9">
        <v>101253650</v>
      </c>
      <c r="E819" s="9" t="s">
        <v>2740</v>
      </c>
      <c r="F819" s="11" t="s">
        <v>3015</v>
      </c>
      <c r="H819" t="s">
        <v>17</v>
      </c>
      <c r="I819" s="9">
        <v>2024</v>
      </c>
      <c r="J819" s="9" t="str">
        <f t="shared" si="0"/>
        <v>102520242024</v>
      </c>
    </row>
    <row r="820" spans="1:10" s="9" customFormat="1" ht="15" customHeight="1" x14ac:dyDescent="0.3">
      <c r="A820" s="9" t="s">
        <v>2742</v>
      </c>
      <c r="B820" s="9">
        <v>7461846</v>
      </c>
      <c r="C820" s="9" t="s">
        <v>2744</v>
      </c>
      <c r="D820" s="9">
        <v>120056369</v>
      </c>
      <c r="E820" s="9" t="s">
        <v>1426</v>
      </c>
      <c r="F820" s="11" t="s">
        <v>3014</v>
      </c>
      <c r="H820" t="s">
        <v>17</v>
      </c>
      <c r="I820" s="9">
        <v>2024</v>
      </c>
      <c r="J820" s="9" t="str">
        <f t="shared" si="0"/>
        <v>1107 20242024</v>
      </c>
    </row>
    <row r="821" spans="1:10" s="9" customFormat="1" ht="15" customHeight="1" x14ac:dyDescent="0.3">
      <c r="A821" s="9" t="s">
        <v>2742</v>
      </c>
      <c r="B821" s="9">
        <v>7461846</v>
      </c>
      <c r="C821" s="9" t="s">
        <v>2747</v>
      </c>
      <c r="D821" s="9">
        <v>120056760</v>
      </c>
      <c r="E821" s="9" t="s">
        <v>1426</v>
      </c>
      <c r="F821" s="11" t="s">
        <v>3008</v>
      </c>
      <c r="H821" t="s">
        <v>17</v>
      </c>
      <c r="I821" s="9">
        <v>2024</v>
      </c>
      <c r="J821" s="9" t="str">
        <f t="shared" si="0"/>
        <v>110720242024</v>
      </c>
    </row>
    <row r="822" spans="1:10" s="9" customFormat="1" ht="15" customHeight="1" x14ac:dyDescent="0.3">
      <c r="A822" s="9" t="s">
        <v>2087</v>
      </c>
      <c r="B822" s="9">
        <v>532861</v>
      </c>
      <c r="C822" s="9" t="s">
        <v>1652</v>
      </c>
      <c r="D822" s="9">
        <v>120045211</v>
      </c>
      <c r="E822" s="9" t="s">
        <v>2754</v>
      </c>
      <c r="F822" s="11" t="s">
        <v>3013</v>
      </c>
      <c r="H822" t="s">
        <v>17</v>
      </c>
      <c r="I822" s="9">
        <v>2024</v>
      </c>
      <c r="J822" s="9" t="str">
        <f t="shared" si="0"/>
        <v>111920242024</v>
      </c>
    </row>
    <row r="823" spans="1:10" s="9" customFormat="1" ht="15" customHeight="1" x14ac:dyDescent="0.3">
      <c r="A823" s="9" t="s">
        <v>2087</v>
      </c>
      <c r="B823" s="9">
        <v>532861</v>
      </c>
      <c r="C823" s="9" t="s">
        <v>2755</v>
      </c>
      <c r="D823" s="9">
        <v>120045212</v>
      </c>
      <c r="E823" s="9" t="s">
        <v>2754</v>
      </c>
      <c r="F823" s="11" t="s">
        <v>3013</v>
      </c>
      <c r="H823" t="s">
        <v>17</v>
      </c>
      <c r="I823" s="9">
        <v>2024</v>
      </c>
      <c r="J823" s="9" t="str">
        <f t="shared" si="0"/>
        <v>111920242024</v>
      </c>
    </row>
    <row r="824" spans="1:10" s="9" customFormat="1" ht="15" customHeight="1" x14ac:dyDescent="0.3">
      <c r="A824" s="9" t="s">
        <v>122</v>
      </c>
      <c r="B824" s="9">
        <v>7438426</v>
      </c>
      <c r="C824" s="9" t="s">
        <v>1752</v>
      </c>
      <c r="D824" s="9">
        <v>101334295</v>
      </c>
      <c r="E824" s="9" t="s">
        <v>2756</v>
      </c>
      <c r="F824" s="11" t="s">
        <v>3012</v>
      </c>
      <c r="H824" t="s">
        <v>17</v>
      </c>
      <c r="I824" s="9">
        <v>2024</v>
      </c>
      <c r="J824" s="9" t="str">
        <f t="shared" si="0"/>
        <v>112520242024</v>
      </c>
    </row>
    <row r="825" spans="1:10" s="9" customFormat="1" ht="15" customHeight="1" x14ac:dyDescent="0.3">
      <c r="A825" s="9" t="s">
        <v>1916</v>
      </c>
      <c r="B825" s="9">
        <v>120081833</v>
      </c>
      <c r="C825" s="9" t="s">
        <v>2757</v>
      </c>
      <c r="D825" s="9">
        <v>120081984</v>
      </c>
      <c r="E825" s="9" t="s">
        <v>2758</v>
      </c>
      <c r="F825" s="11" t="s">
        <v>3011</v>
      </c>
      <c r="H825" t="s">
        <v>17</v>
      </c>
      <c r="I825" s="9">
        <v>2024</v>
      </c>
      <c r="J825" s="9" t="str">
        <f t="shared" si="0"/>
        <v>120420242024</v>
      </c>
    </row>
    <row r="826" spans="1:10" s="9" customFormat="1" ht="15" customHeight="1" x14ac:dyDescent="0.3">
      <c r="A826" s="9" t="s">
        <v>1969</v>
      </c>
      <c r="B826" s="9">
        <v>110006112</v>
      </c>
      <c r="C826" s="9" t="s">
        <v>2759</v>
      </c>
      <c r="D826" s="9">
        <v>120172473</v>
      </c>
      <c r="E826" s="9" t="s">
        <v>2762</v>
      </c>
      <c r="F826" s="11" t="s">
        <v>3010</v>
      </c>
      <c r="H826" t="s">
        <v>17</v>
      </c>
      <c r="I826" s="9">
        <v>2024</v>
      </c>
      <c r="J826" s="9" t="str">
        <f t="shared" si="0"/>
        <v>120520242024</v>
      </c>
    </row>
    <row r="827" spans="1:10" s="9" customFormat="1" ht="15" customHeight="1" x14ac:dyDescent="0.3">
      <c r="A827" s="9" t="s">
        <v>2017</v>
      </c>
      <c r="B827" s="9">
        <v>7463022</v>
      </c>
      <c r="C827" s="9" t="s">
        <v>2011</v>
      </c>
      <c r="D827" s="9">
        <v>120171249</v>
      </c>
      <c r="E827" s="9" t="s">
        <v>2765</v>
      </c>
      <c r="F827" s="11" t="s">
        <v>3009</v>
      </c>
      <c r="H827" t="s">
        <v>17</v>
      </c>
      <c r="I827" s="9">
        <v>2024</v>
      </c>
      <c r="J827" s="9" t="str">
        <f t="shared" si="0"/>
        <v>121820242024</v>
      </c>
    </row>
    <row r="828" spans="1:10" s="9" customFormat="1" ht="15" customHeight="1" x14ac:dyDescent="0.3">
      <c r="A828" s="9" t="s">
        <v>2017</v>
      </c>
      <c r="B828" s="9">
        <v>7463022</v>
      </c>
      <c r="C828" s="9" t="s">
        <v>2022</v>
      </c>
      <c r="D828" s="9">
        <v>101140249</v>
      </c>
      <c r="E828" s="9" t="s">
        <v>2765</v>
      </c>
      <c r="F828" s="11" t="s">
        <v>3009</v>
      </c>
      <c r="H828" t="s">
        <v>17</v>
      </c>
      <c r="I828" s="9">
        <v>2024</v>
      </c>
      <c r="J828" s="9" t="str">
        <f t="shared" si="0"/>
        <v>121820242024</v>
      </c>
    </row>
    <row r="829" spans="1:10" s="9" customFormat="1" ht="15" customHeight="1" x14ac:dyDescent="0.3">
      <c r="A829" s="9" t="s">
        <v>2017</v>
      </c>
      <c r="B829" s="9">
        <v>7463022</v>
      </c>
      <c r="C829" s="9" t="s">
        <v>2763</v>
      </c>
      <c r="D829" s="9">
        <v>120172474</v>
      </c>
      <c r="E829" s="9" t="s">
        <v>2765</v>
      </c>
      <c r="F829" s="11" t="s">
        <v>3009</v>
      </c>
      <c r="H829" t="s">
        <v>17</v>
      </c>
      <c r="I829" s="9">
        <v>2024</v>
      </c>
      <c r="J829" s="9" t="str">
        <f t="shared" si="0"/>
        <v>121820242024</v>
      </c>
    </row>
    <row r="830" spans="1:10" s="9" customFormat="1" ht="15" customHeight="1" x14ac:dyDescent="0.3">
      <c r="A830" s="9" t="s">
        <v>2490</v>
      </c>
      <c r="B830" s="9">
        <v>7498609</v>
      </c>
      <c r="C830" s="9" t="s">
        <v>2766</v>
      </c>
      <c r="D830" s="9">
        <v>101058735</v>
      </c>
      <c r="E830" s="9" t="s">
        <v>2767</v>
      </c>
      <c r="F830" s="11" t="s">
        <v>3008</v>
      </c>
      <c r="G830" s="9" t="s">
        <v>2768</v>
      </c>
      <c r="H830" t="s">
        <v>17</v>
      </c>
      <c r="I830" s="9">
        <v>2024</v>
      </c>
      <c r="J830" s="9" t="str">
        <f t="shared" si="0"/>
        <v>110720242024</v>
      </c>
    </row>
    <row r="831" spans="1:10" s="9" customFormat="1" ht="15" customHeight="1" x14ac:dyDescent="0.3">
      <c r="A831" s="9" t="s">
        <v>2866</v>
      </c>
      <c r="B831" s="9">
        <v>120172600</v>
      </c>
      <c r="C831" s="9" t="s">
        <v>2769</v>
      </c>
      <c r="D831" s="9">
        <v>120172601</v>
      </c>
      <c r="E831" s="9" t="s">
        <v>2770</v>
      </c>
      <c r="F831" s="11" t="s">
        <v>3007</v>
      </c>
      <c r="H831" t="s">
        <v>17</v>
      </c>
      <c r="I831" s="9">
        <v>2024</v>
      </c>
      <c r="J831" s="9" t="str">
        <f t="shared" si="0"/>
        <v>102120242024</v>
      </c>
    </row>
    <row r="832" spans="1:10" s="9" customFormat="1" ht="15" customHeight="1" x14ac:dyDescent="0.3">
      <c r="A832" s="9" t="s">
        <v>39</v>
      </c>
      <c r="B832" s="9">
        <v>534217</v>
      </c>
      <c r="C832" s="9" t="s">
        <v>1922</v>
      </c>
      <c r="D832" s="9" t="s">
        <v>1932</v>
      </c>
      <c r="E832" s="9" t="s">
        <v>2771</v>
      </c>
      <c r="F832" s="11" t="s">
        <v>3006</v>
      </c>
      <c r="H832" t="s">
        <v>17</v>
      </c>
      <c r="I832" s="9">
        <v>2024</v>
      </c>
      <c r="J832" s="9" t="str">
        <f t="shared" si="0"/>
        <v>101120242024</v>
      </c>
    </row>
    <row r="833" spans="1:10" s="9" customFormat="1" ht="15" customHeight="1" x14ac:dyDescent="0.3">
      <c r="A833" s="9" t="s">
        <v>39</v>
      </c>
      <c r="B833" s="9">
        <v>534217</v>
      </c>
      <c r="C833" s="9" t="s">
        <v>1929</v>
      </c>
      <c r="D833" s="9" t="s">
        <v>1939</v>
      </c>
      <c r="E833" s="9" t="s">
        <v>2772</v>
      </c>
      <c r="F833" s="11" t="s">
        <v>3005</v>
      </c>
      <c r="H833" t="s">
        <v>17</v>
      </c>
      <c r="I833" s="9">
        <v>2024</v>
      </c>
      <c r="J833" s="9" t="str">
        <f t="shared" si="0"/>
        <v>100920242024</v>
      </c>
    </row>
    <row r="834" spans="1:10" s="9" customFormat="1" ht="15" customHeight="1" x14ac:dyDescent="0.3">
      <c r="A834" s="9" t="s">
        <v>1969</v>
      </c>
      <c r="B834" s="9">
        <v>110006112</v>
      </c>
      <c r="C834" s="9" t="s">
        <v>2773</v>
      </c>
      <c r="D834" s="9">
        <v>101116241</v>
      </c>
      <c r="E834" s="9" t="s">
        <v>2762</v>
      </c>
      <c r="F834" s="11" t="s">
        <v>2998</v>
      </c>
      <c r="H834" t="s">
        <v>17</v>
      </c>
      <c r="I834" s="9">
        <v>2024</v>
      </c>
      <c r="J834" s="9" t="str">
        <f t="shared" si="0"/>
        <v>100220242024</v>
      </c>
    </row>
    <row r="835" spans="1:10" s="9" customFormat="1" ht="15" customHeight="1" x14ac:dyDescent="0.3">
      <c r="A835" s="9" t="s">
        <v>2816</v>
      </c>
      <c r="B835" s="9">
        <v>120141398</v>
      </c>
      <c r="C835" s="9" t="s">
        <v>2774</v>
      </c>
      <c r="D835" s="9">
        <v>120141399</v>
      </c>
      <c r="E835" s="9" t="s">
        <v>1376</v>
      </c>
      <c r="F835" s="11" t="s">
        <v>3004</v>
      </c>
      <c r="H835" t="s">
        <v>17</v>
      </c>
      <c r="I835" s="9">
        <v>2024</v>
      </c>
      <c r="J835" s="9" t="str">
        <f t="shared" si="0"/>
        <v>092620242024</v>
      </c>
    </row>
    <row r="836" spans="1:10" s="9" customFormat="1" ht="15" customHeight="1" x14ac:dyDescent="0.3">
      <c r="A836" s="9" t="s">
        <v>2816</v>
      </c>
      <c r="B836" s="9">
        <v>120141398</v>
      </c>
      <c r="C836" s="9" t="s">
        <v>2775</v>
      </c>
      <c r="D836" s="9">
        <v>120141740</v>
      </c>
      <c r="E836" s="9" t="s">
        <v>1376</v>
      </c>
      <c r="F836" s="11" t="s">
        <v>3004</v>
      </c>
      <c r="H836" t="s">
        <v>17</v>
      </c>
      <c r="I836" s="9">
        <v>2024</v>
      </c>
      <c r="J836" s="9" t="str">
        <f t="shared" ref="J836:J867" si="1">_xlfn.CONCAT(F836,I836)</f>
        <v>092620242024</v>
      </c>
    </row>
    <row r="837" spans="1:10" s="9" customFormat="1" ht="15" customHeight="1" x14ac:dyDescent="0.3">
      <c r="A837" s="9" t="s">
        <v>2087</v>
      </c>
      <c r="B837" s="9">
        <v>532861</v>
      </c>
      <c r="C837" s="9" t="s">
        <v>1652</v>
      </c>
      <c r="D837" s="9">
        <v>120045211</v>
      </c>
      <c r="E837" s="9" t="s">
        <v>2776</v>
      </c>
      <c r="F837" s="11" t="s">
        <v>3003</v>
      </c>
      <c r="H837" t="s">
        <v>17</v>
      </c>
      <c r="I837" s="9">
        <v>2024</v>
      </c>
      <c r="J837" s="9" t="str">
        <f t="shared" si="1"/>
        <v>093020242024</v>
      </c>
    </row>
    <row r="838" spans="1:10" s="9" customFormat="1" ht="15" customHeight="1" x14ac:dyDescent="0.3">
      <c r="A838" s="9" t="s">
        <v>2820</v>
      </c>
      <c r="B838" s="9">
        <v>120081834</v>
      </c>
      <c r="C838" s="9" t="s">
        <v>2777</v>
      </c>
      <c r="D838" s="9">
        <v>120112663</v>
      </c>
      <c r="E838" s="9" t="s">
        <v>2778</v>
      </c>
      <c r="F838" s="11" t="s">
        <v>3002</v>
      </c>
      <c r="H838" t="s">
        <v>17</v>
      </c>
      <c r="I838" s="9">
        <v>2024</v>
      </c>
      <c r="J838" s="9" t="str">
        <f t="shared" si="1"/>
        <v>092520242024</v>
      </c>
    </row>
    <row r="839" spans="1:10" s="9" customFormat="1" ht="15" customHeight="1" x14ac:dyDescent="0.3">
      <c r="A839" s="9" t="s">
        <v>2820</v>
      </c>
      <c r="B839" s="9">
        <v>120081834</v>
      </c>
      <c r="C839" s="9" t="s">
        <v>2779</v>
      </c>
      <c r="D839" s="9">
        <v>120112666</v>
      </c>
      <c r="E839" s="9" t="s">
        <v>2778</v>
      </c>
      <c r="F839" s="11" t="s">
        <v>3002</v>
      </c>
      <c r="H839" t="s">
        <v>17</v>
      </c>
      <c r="I839" s="9">
        <v>2024</v>
      </c>
      <c r="J839" s="9" t="str">
        <f t="shared" si="1"/>
        <v>092520242024</v>
      </c>
    </row>
    <row r="840" spans="1:10" s="9" customFormat="1" ht="15" customHeight="1" x14ac:dyDescent="0.3">
      <c r="A840" s="9" t="s">
        <v>2820</v>
      </c>
      <c r="B840" s="9">
        <v>120081834</v>
      </c>
      <c r="C840" s="9" t="s">
        <v>2780</v>
      </c>
      <c r="D840" s="9">
        <v>120112664</v>
      </c>
      <c r="E840" s="9" t="s">
        <v>2778</v>
      </c>
      <c r="F840" s="11" t="s">
        <v>3002</v>
      </c>
      <c r="H840" t="s">
        <v>17</v>
      </c>
      <c r="I840" s="9">
        <v>2024</v>
      </c>
      <c r="J840" s="9" t="str">
        <f t="shared" si="1"/>
        <v>092520242024</v>
      </c>
    </row>
    <row r="841" spans="1:10" s="9" customFormat="1" ht="15" customHeight="1" x14ac:dyDescent="0.3">
      <c r="A841" s="9" t="s">
        <v>2820</v>
      </c>
      <c r="B841" s="9">
        <v>120081834</v>
      </c>
      <c r="C841" s="9" t="s">
        <v>2781</v>
      </c>
      <c r="D841" s="9">
        <v>120112665</v>
      </c>
      <c r="E841" s="9" t="s">
        <v>2778</v>
      </c>
      <c r="F841" s="11" t="s">
        <v>3002</v>
      </c>
      <c r="H841" t="s">
        <v>17</v>
      </c>
      <c r="I841" s="9">
        <v>2024</v>
      </c>
      <c r="J841" s="9" t="str">
        <f t="shared" si="1"/>
        <v>092520242024</v>
      </c>
    </row>
    <row r="842" spans="1:10" s="9" customFormat="1" ht="15" customHeight="1" x14ac:dyDescent="0.3">
      <c r="A842" s="9" t="s">
        <v>2809</v>
      </c>
      <c r="B842" s="9">
        <v>120096404</v>
      </c>
      <c r="C842" s="9" t="s">
        <v>2782</v>
      </c>
      <c r="D842" s="9">
        <v>120096474</v>
      </c>
      <c r="E842" s="9" t="s">
        <v>2783</v>
      </c>
      <c r="F842" s="11" t="s">
        <v>3002</v>
      </c>
      <c r="H842" t="s">
        <v>17</v>
      </c>
      <c r="I842" s="9">
        <v>2024</v>
      </c>
      <c r="J842" s="9" t="str">
        <f t="shared" si="1"/>
        <v>092520242024</v>
      </c>
    </row>
    <row r="843" spans="1:10" s="9" customFormat="1" ht="15" customHeight="1" x14ac:dyDescent="0.3">
      <c r="A843" s="9" t="s">
        <v>2868</v>
      </c>
      <c r="B843" s="9">
        <v>7463020</v>
      </c>
      <c r="C843" s="9" t="s">
        <v>2784</v>
      </c>
      <c r="D843" s="9">
        <v>101140208</v>
      </c>
      <c r="E843" s="9" t="s">
        <v>2785</v>
      </c>
      <c r="F843" s="11" t="s">
        <v>3001</v>
      </c>
      <c r="H843" t="s">
        <v>17</v>
      </c>
      <c r="I843" s="9">
        <v>2024</v>
      </c>
      <c r="J843" s="9" t="str">
        <f t="shared" si="1"/>
        <v>091820242024</v>
      </c>
    </row>
    <row r="844" spans="1:10" s="9" customFormat="1" ht="15" customHeight="1" x14ac:dyDescent="0.3">
      <c r="A844" s="9" t="s">
        <v>2037</v>
      </c>
      <c r="B844" s="9">
        <v>7500610</v>
      </c>
      <c r="C844" s="9" t="s">
        <v>2786</v>
      </c>
      <c r="D844" s="9">
        <v>120081846</v>
      </c>
      <c r="E844" s="9" t="s">
        <v>2787</v>
      </c>
      <c r="F844" s="11" t="s">
        <v>3000</v>
      </c>
      <c r="H844" t="s">
        <v>17</v>
      </c>
      <c r="I844" s="9">
        <v>2024</v>
      </c>
      <c r="J844" s="9" t="str">
        <f t="shared" si="1"/>
        <v>092420242024</v>
      </c>
    </row>
    <row r="845" spans="1:10" s="9" customFormat="1" ht="15" customHeight="1" x14ac:dyDescent="0.3">
      <c r="A845" s="9" t="s">
        <v>3017</v>
      </c>
      <c r="B845" s="9">
        <v>507143</v>
      </c>
      <c r="C845" s="9" t="s">
        <v>1930</v>
      </c>
      <c r="D845" s="9" t="s">
        <v>3016</v>
      </c>
      <c r="E845" s="9" t="s">
        <v>1426</v>
      </c>
      <c r="F845" s="11" t="s">
        <v>2999</v>
      </c>
      <c r="H845" t="s">
        <v>17</v>
      </c>
      <c r="I845" s="9">
        <v>2024</v>
      </c>
      <c r="J845" s="9" t="str">
        <f t="shared" si="1"/>
        <v>103020242024</v>
      </c>
    </row>
    <row r="846" spans="1:10" s="9" customFormat="1" ht="15" customHeight="1" x14ac:dyDescent="0.3">
      <c r="A846" s="9" t="s">
        <v>68</v>
      </c>
      <c r="B846" s="9">
        <v>7477816</v>
      </c>
      <c r="C846" s="9" t="s">
        <v>2739</v>
      </c>
      <c r="D846" s="9">
        <v>101253650</v>
      </c>
      <c r="E846" s="9" t="s">
        <v>2740</v>
      </c>
      <c r="F846" s="11" t="s">
        <v>3015</v>
      </c>
      <c r="H846" t="s">
        <v>17</v>
      </c>
      <c r="I846" s="9">
        <v>2024</v>
      </c>
      <c r="J846" s="9" t="str">
        <f t="shared" si="1"/>
        <v>102520242024</v>
      </c>
    </row>
    <row r="847" spans="1:10" s="9" customFormat="1" ht="15" customHeight="1" x14ac:dyDescent="0.3">
      <c r="A847" s="9" t="s">
        <v>2742</v>
      </c>
      <c r="B847" s="9">
        <v>7461846</v>
      </c>
      <c r="C847" s="9" t="s">
        <v>2744</v>
      </c>
      <c r="D847" s="9">
        <v>120056369</v>
      </c>
      <c r="E847" s="9" t="s">
        <v>1426</v>
      </c>
      <c r="F847" s="11" t="s">
        <v>3014</v>
      </c>
      <c r="H847" t="s">
        <v>17</v>
      </c>
      <c r="I847" s="9">
        <v>2024</v>
      </c>
      <c r="J847" s="9" t="str">
        <f t="shared" si="1"/>
        <v>1107 20242024</v>
      </c>
    </row>
    <row r="848" spans="1:10" s="9" customFormat="1" ht="15" customHeight="1" x14ac:dyDescent="0.3">
      <c r="A848" s="9" t="s">
        <v>2742</v>
      </c>
      <c r="B848" s="9">
        <v>7461846</v>
      </c>
      <c r="C848" s="9" t="s">
        <v>2747</v>
      </c>
      <c r="D848" s="9">
        <v>120056760</v>
      </c>
      <c r="E848" s="9" t="s">
        <v>1426</v>
      </c>
      <c r="F848" s="11" t="s">
        <v>3008</v>
      </c>
      <c r="H848" t="s">
        <v>17</v>
      </c>
      <c r="I848" s="9">
        <v>2024</v>
      </c>
      <c r="J848" s="9" t="str">
        <f t="shared" si="1"/>
        <v>110720242024</v>
      </c>
    </row>
    <row r="849" spans="1:10" s="9" customFormat="1" ht="15" customHeight="1" x14ac:dyDescent="0.3">
      <c r="A849" s="9" t="s">
        <v>2087</v>
      </c>
      <c r="B849" s="9">
        <v>532861</v>
      </c>
      <c r="C849" s="9" t="s">
        <v>1652</v>
      </c>
      <c r="D849" s="9">
        <v>120045211</v>
      </c>
      <c r="E849" s="9" t="s">
        <v>2754</v>
      </c>
      <c r="F849" s="11" t="s">
        <v>3013</v>
      </c>
      <c r="H849" t="s">
        <v>17</v>
      </c>
      <c r="I849" s="9">
        <v>2024</v>
      </c>
      <c r="J849" s="9" t="str">
        <f t="shared" si="1"/>
        <v>111920242024</v>
      </c>
    </row>
    <row r="850" spans="1:10" s="9" customFormat="1" ht="15" customHeight="1" x14ac:dyDescent="0.3">
      <c r="A850" s="9" t="s">
        <v>2087</v>
      </c>
      <c r="B850" s="9">
        <v>532861</v>
      </c>
      <c r="C850" s="9" t="s">
        <v>2755</v>
      </c>
      <c r="D850" s="9">
        <v>120045212</v>
      </c>
      <c r="E850" s="9" t="s">
        <v>2754</v>
      </c>
      <c r="F850" s="11" t="s">
        <v>3013</v>
      </c>
      <c r="H850" t="s">
        <v>17</v>
      </c>
      <c r="I850" s="9">
        <v>2024</v>
      </c>
      <c r="J850" s="9" t="str">
        <f t="shared" si="1"/>
        <v>111920242024</v>
      </c>
    </row>
    <row r="851" spans="1:10" s="9" customFormat="1" ht="15" customHeight="1" x14ac:dyDescent="0.3">
      <c r="A851" s="9" t="s">
        <v>122</v>
      </c>
      <c r="B851" s="9">
        <v>7438426</v>
      </c>
      <c r="C851" s="9" t="s">
        <v>1752</v>
      </c>
      <c r="D851" s="9">
        <v>101334295</v>
      </c>
      <c r="E851" s="9" t="s">
        <v>2756</v>
      </c>
      <c r="F851" s="11" t="s">
        <v>3012</v>
      </c>
      <c r="H851" t="s">
        <v>17</v>
      </c>
      <c r="I851" s="9">
        <v>2024</v>
      </c>
      <c r="J851" s="9" t="str">
        <f t="shared" si="1"/>
        <v>112520242024</v>
      </c>
    </row>
    <row r="852" spans="1:10" s="9" customFormat="1" ht="15" customHeight="1" x14ac:dyDescent="0.3">
      <c r="A852" s="9" t="s">
        <v>1916</v>
      </c>
      <c r="B852" s="9">
        <v>120081833</v>
      </c>
      <c r="C852" s="9" t="s">
        <v>2757</v>
      </c>
      <c r="D852" s="9">
        <v>120081984</v>
      </c>
      <c r="E852" s="9" t="s">
        <v>2758</v>
      </c>
      <c r="F852" s="11" t="s">
        <v>3011</v>
      </c>
      <c r="H852" t="s">
        <v>17</v>
      </c>
      <c r="I852" s="9">
        <v>2024</v>
      </c>
      <c r="J852" s="9" t="str">
        <f t="shared" si="1"/>
        <v>120420242024</v>
      </c>
    </row>
    <row r="853" spans="1:10" s="9" customFormat="1" ht="15" customHeight="1" x14ac:dyDescent="0.3">
      <c r="A853" s="9" t="s">
        <v>1969</v>
      </c>
      <c r="B853" s="9">
        <v>110006112</v>
      </c>
      <c r="C853" s="9" t="s">
        <v>2759</v>
      </c>
      <c r="D853" s="9">
        <v>120172473</v>
      </c>
      <c r="E853" s="9" t="s">
        <v>2762</v>
      </c>
      <c r="F853" s="11" t="s">
        <v>3010</v>
      </c>
      <c r="H853" t="s">
        <v>17</v>
      </c>
      <c r="I853" s="9">
        <v>2024</v>
      </c>
      <c r="J853" s="9" t="str">
        <f t="shared" si="1"/>
        <v>120520242024</v>
      </c>
    </row>
    <row r="854" spans="1:10" s="9" customFormat="1" ht="15" customHeight="1" x14ac:dyDescent="0.3">
      <c r="A854" s="9" t="s">
        <v>2017</v>
      </c>
      <c r="B854" s="9">
        <v>7463022</v>
      </c>
      <c r="C854" s="9" t="s">
        <v>2011</v>
      </c>
      <c r="D854" s="9">
        <v>120171249</v>
      </c>
      <c r="E854" s="9" t="s">
        <v>2765</v>
      </c>
      <c r="F854" s="11" t="s">
        <v>3009</v>
      </c>
      <c r="H854" t="s">
        <v>17</v>
      </c>
      <c r="I854" s="9">
        <v>2024</v>
      </c>
      <c r="J854" s="9" t="str">
        <f t="shared" si="1"/>
        <v>121820242024</v>
      </c>
    </row>
    <row r="855" spans="1:10" s="9" customFormat="1" ht="15" customHeight="1" x14ac:dyDescent="0.3">
      <c r="A855" s="9" t="s">
        <v>2017</v>
      </c>
      <c r="B855" s="9">
        <v>7463022</v>
      </c>
      <c r="C855" s="9" t="s">
        <v>2022</v>
      </c>
      <c r="D855" s="9">
        <v>101140249</v>
      </c>
      <c r="E855" s="9" t="s">
        <v>2765</v>
      </c>
      <c r="F855" s="11" t="s">
        <v>3009</v>
      </c>
      <c r="H855" t="s">
        <v>17</v>
      </c>
      <c r="I855" s="9">
        <v>2024</v>
      </c>
      <c r="J855" s="9" t="str">
        <f t="shared" si="1"/>
        <v>121820242024</v>
      </c>
    </row>
    <row r="856" spans="1:10" s="9" customFormat="1" ht="15" customHeight="1" x14ac:dyDescent="0.3">
      <c r="A856" s="9" t="s">
        <v>2017</v>
      </c>
      <c r="B856" s="9">
        <v>7463022</v>
      </c>
      <c r="C856" s="9" t="s">
        <v>2763</v>
      </c>
      <c r="D856" s="9">
        <v>120172474</v>
      </c>
      <c r="E856" s="9" t="s">
        <v>2765</v>
      </c>
      <c r="F856" s="11" t="s">
        <v>3009</v>
      </c>
      <c r="H856" t="s">
        <v>17</v>
      </c>
      <c r="I856" s="9">
        <v>2024</v>
      </c>
      <c r="J856" s="9" t="str">
        <f t="shared" si="1"/>
        <v>121820242024</v>
      </c>
    </row>
    <row r="857" spans="1:10" s="9" customFormat="1" ht="15" customHeight="1" x14ac:dyDescent="0.3">
      <c r="A857" s="9" t="s">
        <v>2490</v>
      </c>
      <c r="B857" s="9">
        <v>7498609</v>
      </c>
      <c r="C857" s="9" t="s">
        <v>2766</v>
      </c>
      <c r="D857" s="9">
        <v>101058735</v>
      </c>
      <c r="E857" s="9" t="s">
        <v>2767</v>
      </c>
      <c r="F857" s="11" t="s">
        <v>3008</v>
      </c>
      <c r="G857" s="9" t="s">
        <v>2768</v>
      </c>
      <c r="H857" t="s">
        <v>17</v>
      </c>
      <c r="I857" s="9">
        <v>2024</v>
      </c>
      <c r="J857" s="9" t="str">
        <f t="shared" si="1"/>
        <v>110720242024</v>
      </c>
    </row>
    <row r="858" spans="1:10" s="9" customFormat="1" ht="15" customHeight="1" x14ac:dyDescent="0.3">
      <c r="A858" s="9" t="s">
        <v>2866</v>
      </c>
      <c r="B858" s="9">
        <v>120172600</v>
      </c>
      <c r="C858" s="9" t="s">
        <v>2769</v>
      </c>
      <c r="D858" s="9">
        <v>120172601</v>
      </c>
      <c r="E858" s="9" t="s">
        <v>2770</v>
      </c>
      <c r="F858" s="11" t="s">
        <v>3007</v>
      </c>
      <c r="H858" t="s">
        <v>17</v>
      </c>
      <c r="I858" s="9">
        <v>2024</v>
      </c>
      <c r="J858" s="9" t="str">
        <f t="shared" si="1"/>
        <v>102120242024</v>
      </c>
    </row>
    <row r="859" spans="1:10" s="9" customFormat="1" ht="15" customHeight="1" x14ac:dyDescent="0.3">
      <c r="A859" s="9" t="s">
        <v>39</v>
      </c>
      <c r="B859" s="9">
        <v>534217</v>
      </c>
      <c r="C859" s="9" t="s">
        <v>1922</v>
      </c>
      <c r="D859" s="9" t="s">
        <v>1932</v>
      </c>
      <c r="E859" s="9" t="s">
        <v>2771</v>
      </c>
      <c r="F859" s="11" t="s">
        <v>3006</v>
      </c>
      <c r="H859" t="s">
        <v>17</v>
      </c>
      <c r="I859" s="9">
        <v>2024</v>
      </c>
      <c r="J859" s="9" t="str">
        <f t="shared" si="1"/>
        <v>101120242024</v>
      </c>
    </row>
    <row r="860" spans="1:10" s="9" customFormat="1" ht="15" customHeight="1" x14ac:dyDescent="0.3">
      <c r="A860" s="9" t="s">
        <v>39</v>
      </c>
      <c r="B860" s="9">
        <v>534217</v>
      </c>
      <c r="C860" s="9" t="s">
        <v>1929</v>
      </c>
      <c r="D860" s="9" t="s">
        <v>1939</v>
      </c>
      <c r="E860" s="9" t="s">
        <v>2772</v>
      </c>
      <c r="F860" s="11" t="s">
        <v>3005</v>
      </c>
      <c r="H860" t="s">
        <v>17</v>
      </c>
      <c r="I860" s="9">
        <v>2024</v>
      </c>
      <c r="J860" s="9" t="str">
        <f t="shared" si="1"/>
        <v>100920242024</v>
      </c>
    </row>
    <row r="861" spans="1:10" s="9" customFormat="1" ht="15" customHeight="1" x14ac:dyDescent="0.3">
      <c r="A861" s="9" t="s">
        <v>1969</v>
      </c>
      <c r="B861" s="9">
        <v>110006112</v>
      </c>
      <c r="C861" s="9" t="s">
        <v>2773</v>
      </c>
      <c r="D861" s="9">
        <v>101116241</v>
      </c>
      <c r="E861" s="9" t="s">
        <v>2762</v>
      </c>
      <c r="F861" s="11" t="s">
        <v>2998</v>
      </c>
      <c r="H861" t="s">
        <v>17</v>
      </c>
      <c r="I861" s="9">
        <v>2024</v>
      </c>
      <c r="J861" s="9" t="str">
        <f t="shared" si="1"/>
        <v>100220242024</v>
      </c>
    </row>
    <row r="862" spans="1:10" s="9" customFormat="1" ht="15" customHeight="1" x14ac:dyDescent="0.3">
      <c r="A862" s="9" t="s">
        <v>2816</v>
      </c>
      <c r="B862" s="9">
        <v>120141398</v>
      </c>
      <c r="C862" s="9" t="s">
        <v>2774</v>
      </c>
      <c r="D862" s="9">
        <v>120141399</v>
      </c>
      <c r="E862" s="9" t="s">
        <v>1376</v>
      </c>
      <c r="F862" s="11" t="s">
        <v>3004</v>
      </c>
      <c r="H862" t="s">
        <v>17</v>
      </c>
      <c r="I862" s="9">
        <v>2024</v>
      </c>
      <c r="J862" s="9" t="str">
        <f t="shared" si="1"/>
        <v>092620242024</v>
      </c>
    </row>
    <row r="863" spans="1:10" s="9" customFormat="1" ht="15" customHeight="1" x14ac:dyDescent="0.3">
      <c r="A863" s="9" t="s">
        <v>2816</v>
      </c>
      <c r="B863" s="9">
        <v>120141398</v>
      </c>
      <c r="C863" s="9" t="s">
        <v>2775</v>
      </c>
      <c r="D863" s="9">
        <v>120141740</v>
      </c>
      <c r="E863" s="9" t="s">
        <v>1376</v>
      </c>
      <c r="F863" s="11" t="s">
        <v>3004</v>
      </c>
      <c r="H863" t="s">
        <v>17</v>
      </c>
      <c r="I863" s="9">
        <v>2024</v>
      </c>
      <c r="J863" s="9" t="str">
        <f t="shared" si="1"/>
        <v>092620242024</v>
      </c>
    </row>
    <row r="864" spans="1:10" s="9" customFormat="1" ht="15" customHeight="1" x14ac:dyDescent="0.3">
      <c r="A864" s="9" t="s">
        <v>2087</v>
      </c>
      <c r="B864" s="9">
        <v>532861</v>
      </c>
      <c r="C864" s="9" t="s">
        <v>1652</v>
      </c>
      <c r="D864" s="9">
        <v>120045211</v>
      </c>
      <c r="E864" s="9" t="s">
        <v>2776</v>
      </c>
      <c r="F864" s="11" t="s">
        <v>3003</v>
      </c>
      <c r="H864" t="s">
        <v>17</v>
      </c>
      <c r="I864" s="9">
        <v>2024</v>
      </c>
      <c r="J864" s="9" t="str">
        <f t="shared" si="1"/>
        <v>093020242024</v>
      </c>
    </row>
    <row r="865" spans="1:10" s="9" customFormat="1" ht="15" customHeight="1" x14ac:dyDescent="0.3">
      <c r="A865" s="9" t="s">
        <v>2820</v>
      </c>
      <c r="B865" s="9">
        <v>120081834</v>
      </c>
      <c r="C865" s="9" t="s">
        <v>2777</v>
      </c>
      <c r="D865" s="9">
        <v>120112663</v>
      </c>
      <c r="E865" s="9" t="s">
        <v>2778</v>
      </c>
      <c r="F865" s="11" t="s">
        <v>3002</v>
      </c>
      <c r="H865" t="s">
        <v>17</v>
      </c>
      <c r="I865" s="9">
        <v>2024</v>
      </c>
      <c r="J865" s="9" t="str">
        <f t="shared" si="1"/>
        <v>092520242024</v>
      </c>
    </row>
    <row r="866" spans="1:10" s="9" customFormat="1" ht="15" customHeight="1" x14ac:dyDescent="0.3">
      <c r="A866" s="9" t="s">
        <v>2820</v>
      </c>
      <c r="B866" s="9">
        <v>120081834</v>
      </c>
      <c r="C866" s="9" t="s">
        <v>2779</v>
      </c>
      <c r="D866" s="9">
        <v>120112666</v>
      </c>
      <c r="E866" s="9" t="s">
        <v>2778</v>
      </c>
      <c r="F866" s="11" t="s">
        <v>3002</v>
      </c>
      <c r="H866" t="s">
        <v>17</v>
      </c>
      <c r="I866" s="9">
        <v>2024</v>
      </c>
      <c r="J866" s="9" t="str">
        <f t="shared" si="1"/>
        <v>092520242024</v>
      </c>
    </row>
    <row r="867" spans="1:10" s="9" customFormat="1" ht="16.2" customHeight="1" x14ac:dyDescent="0.3">
      <c r="A867" s="9" t="s">
        <v>2820</v>
      </c>
      <c r="B867" s="9">
        <v>120081834</v>
      </c>
      <c r="C867" s="9" t="s">
        <v>2780</v>
      </c>
      <c r="D867" s="9">
        <v>120112664</v>
      </c>
      <c r="E867" s="9" t="s">
        <v>2778</v>
      </c>
      <c r="F867" s="11" t="s">
        <v>3002</v>
      </c>
      <c r="H867" t="s">
        <v>17</v>
      </c>
      <c r="I867" s="9">
        <v>2024</v>
      </c>
      <c r="J867" s="9" t="str">
        <f t="shared" si="1"/>
        <v>092520242024</v>
      </c>
    </row>
    <row r="868" spans="1:10" s="9" customFormat="1" ht="15" customHeight="1" x14ac:dyDescent="0.3">
      <c r="A868" s="9" t="s">
        <v>2809</v>
      </c>
      <c r="B868" s="9">
        <v>120096404</v>
      </c>
      <c r="C868" s="9" t="s">
        <v>2782</v>
      </c>
      <c r="D868" s="9">
        <v>120096474</v>
      </c>
      <c r="E868" s="9" t="s">
        <v>2783</v>
      </c>
      <c r="F868" s="11" t="s">
        <v>3002</v>
      </c>
      <c r="H868" t="s">
        <v>17</v>
      </c>
      <c r="I868" s="9">
        <v>2024</v>
      </c>
      <c r="J868" s="9" t="str">
        <f t="shared" ref="J868:J894" si="2">_xlfn.CONCAT(F868,I868)</f>
        <v>092520242024</v>
      </c>
    </row>
    <row r="869" spans="1:10" s="9" customFormat="1" ht="15" customHeight="1" x14ac:dyDescent="0.3">
      <c r="A869" s="9" t="s">
        <v>2868</v>
      </c>
      <c r="B869" s="9">
        <v>7463020</v>
      </c>
      <c r="C869" s="9" t="s">
        <v>2784</v>
      </c>
      <c r="D869" s="9">
        <v>101140208</v>
      </c>
      <c r="E869" s="9" t="s">
        <v>2785</v>
      </c>
      <c r="F869" s="11" t="s">
        <v>3001</v>
      </c>
      <c r="H869" t="s">
        <v>17</v>
      </c>
      <c r="I869" s="9">
        <v>2024</v>
      </c>
      <c r="J869" s="9" t="str">
        <f t="shared" si="2"/>
        <v>091820242024</v>
      </c>
    </row>
    <row r="870" spans="1:10" s="9" customFormat="1" ht="15" customHeight="1" x14ac:dyDescent="0.3">
      <c r="A870" s="9" t="s">
        <v>2037</v>
      </c>
      <c r="B870" s="9">
        <v>7500610</v>
      </c>
      <c r="C870" s="9" t="s">
        <v>2786</v>
      </c>
      <c r="D870" s="9">
        <v>120081846</v>
      </c>
      <c r="E870" s="9" t="s">
        <v>2787</v>
      </c>
      <c r="F870" s="11" t="s">
        <v>3000</v>
      </c>
      <c r="H870" t="s">
        <v>17</v>
      </c>
      <c r="I870" s="9">
        <v>2024</v>
      </c>
      <c r="J870" s="9" t="str">
        <f t="shared" si="2"/>
        <v>092420242024</v>
      </c>
    </row>
    <row r="871" spans="1:10" s="9" customFormat="1" ht="15" customHeight="1" x14ac:dyDescent="0.3">
      <c r="A871" s="9" t="s">
        <v>122</v>
      </c>
      <c r="B871" s="9">
        <v>7438426</v>
      </c>
      <c r="C871" s="9" t="s">
        <v>1708</v>
      </c>
      <c r="D871" s="9">
        <v>101203055</v>
      </c>
      <c r="E871" s="9" t="s">
        <v>2789</v>
      </c>
      <c r="F871" s="11" t="s">
        <v>3027</v>
      </c>
      <c r="H871" t="s">
        <v>17</v>
      </c>
      <c r="I871" s="9">
        <v>2024</v>
      </c>
      <c r="J871" s="9" t="str">
        <f t="shared" si="2"/>
        <v>092320242024</v>
      </c>
    </row>
    <row r="872" spans="1:10" s="9" customFormat="1" ht="15" customHeight="1" x14ac:dyDescent="0.3">
      <c r="A872" s="9" t="s">
        <v>2809</v>
      </c>
      <c r="B872" s="9">
        <v>120096404</v>
      </c>
      <c r="C872" s="9" t="s">
        <v>2790</v>
      </c>
      <c r="D872" s="9">
        <v>120096471</v>
      </c>
      <c r="E872" s="9" t="s">
        <v>2791</v>
      </c>
      <c r="F872" s="11" t="s">
        <v>3026</v>
      </c>
      <c r="H872" t="s">
        <v>17</v>
      </c>
      <c r="I872" s="9">
        <v>2024</v>
      </c>
      <c r="J872" s="9" t="str">
        <f t="shared" si="2"/>
        <v>092020242024</v>
      </c>
    </row>
    <row r="873" spans="1:10" s="9" customFormat="1" ht="15" customHeight="1" x14ac:dyDescent="0.3">
      <c r="A873" s="9" t="s">
        <v>460</v>
      </c>
      <c r="B873" s="9">
        <v>508073</v>
      </c>
      <c r="C873" s="9" t="s">
        <v>2792</v>
      </c>
      <c r="D873" s="9">
        <v>120172602</v>
      </c>
      <c r="E873" s="9" t="s">
        <v>2793</v>
      </c>
      <c r="F873" s="11" t="s">
        <v>3026</v>
      </c>
      <c r="H873" t="s">
        <v>17</v>
      </c>
      <c r="I873" s="9">
        <v>2024</v>
      </c>
      <c r="J873" s="9" t="str">
        <f t="shared" si="2"/>
        <v>092020242024</v>
      </c>
    </row>
    <row r="874" spans="1:10" s="9" customFormat="1" ht="15" customHeight="1" x14ac:dyDescent="0.3">
      <c r="A874" s="9" t="s">
        <v>2960</v>
      </c>
      <c r="B874" s="9">
        <v>120106141</v>
      </c>
      <c r="C874" s="9" t="s">
        <v>2794</v>
      </c>
      <c r="D874" s="9">
        <v>120172603</v>
      </c>
      <c r="E874" s="9" t="s">
        <v>2795</v>
      </c>
      <c r="F874" s="11" t="s">
        <v>3025</v>
      </c>
      <c r="H874" t="s">
        <v>17</v>
      </c>
      <c r="I874" s="9">
        <v>2024</v>
      </c>
      <c r="J874" s="9" t="str">
        <f t="shared" si="2"/>
        <v>091920242024</v>
      </c>
    </row>
    <row r="875" spans="1:10" s="9" customFormat="1" ht="15" customHeight="1" x14ac:dyDescent="0.3">
      <c r="A875" s="9" t="s">
        <v>2872</v>
      </c>
      <c r="B875" s="9">
        <v>110005399</v>
      </c>
      <c r="C875" s="9" t="s">
        <v>2796</v>
      </c>
      <c r="D875" s="9">
        <v>120172604</v>
      </c>
      <c r="E875" s="9" t="s">
        <v>2798</v>
      </c>
      <c r="F875" s="11" t="s">
        <v>3001</v>
      </c>
      <c r="H875" t="s">
        <v>17</v>
      </c>
      <c r="I875" s="9">
        <v>2024</v>
      </c>
      <c r="J875" s="9" t="str">
        <f t="shared" si="2"/>
        <v>091820242024</v>
      </c>
    </row>
    <row r="876" spans="1:10" s="9" customFormat="1" ht="15" customHeight="1" x14ac:dyDescent="0.3">
      <c r="A876" s="9" t="s">
        <v>2872</v>
      </c>
      <c r="B876" s="9">
        <v>110005399</v>
      </c>
      <c r="C876" s="9" t="s">
        <v>2890</v>
      </c>
      <c r="D876" s="9">
        <v>120090301</v>
      </c>
      <c r="E876" s="9" t="s">
        <v>2798</v>
      </c>
      <c r="F876" s="11" t="s">
        <v>3001</v>
      </c>
      <c r="H876" t="s">
        <v>17</v>
      </c>
      <c r="I876" s="9">
        <v>2024</v>
      </c>
      <c r="J876" s="9" t="str">
        <f t="shared" si="2"/>
        <v>091820242024</v>
      </c>
    </row>
    <row r="877" spans="1:10" s="9" customFormat="1" ht="15" customHeight="1" x14ac:dyDescent="0.3">
      <c r="A877" s="9" t="s">
        <v>2872</v>
      </c>
      <c r="B877" s="9">
        <v>110005399</v>
      </c>
      <c r="C877" s="9" t="s">
        <v>2797</v>
      </c>
      <c r="D877" s="9">
        <v>120046495</v>
      </c>
      <c r="E877" s="9" t="s">
        <v>2798</v>
      </c>
      <c r="F877" s="11" t="s">
        <v>3001</v>
      </c>
      <c r="H877" t="s">
        <v>17</v>
      </c>
      <c r="I877" s="9">
        <v>2024</v>
      </c>
      <c r="J877" s="9" t="str">
        <f t="shared" si="2"/>
        <v>091820242024</v>
      </c>
    </row>
    <row r="878" spans="1:10" s="9" customFormat="1" ht="15" customHeight="1" x14ac:dyDescent="0.3">
      <c r="A878" s="9" t="s">
        <v>2872</v>
      </c>
      <c r="B878" s="9">
        <v>110005399</v>
      </c>
      <c r="C878" s="9" t="s">
        <v>2796</v>
      </c>
      <c r="D878" s="9">
        <v>120172604</v>
      </c>
      <c r="E878" s="9" t="s">
        <v>2799</v>
      </c>
      <c r="F878" s="11" t="s">
        <v>3024</v>
      </c>
      <c r="H878" t="s">
        <v>17</v>
      </c>
      <c r="I878" s="9">
        <v>2024</v>
      </c>
      <c r="J878" s="9" t="str">
        <f t="shared" si="2"/>
        <v>090520242024</v>
      </c>
    </row>
    <row r="879" spans="1:10" s="9" customFormat="1" ht="15" customHeight="1" x14ac:dyDescent="0.3">
      <c r="A879" s="9" t="s">
        <v>2872</v>
      </c>
      <c r="B879" s="9">
        <v>110005399</v>
      </c>
      <c r="C879" s="9" t="s">
        <v>2890</v>
      </c>
      <c r="D879" s="9">
        <v>120090301</v>
      </c>
      <c r="E879" s="9" t="s">
        <v>2799</v>
      </c>
      <c r="F879" s="11" t="s">
        <v>3024</v>
      </c>
      <c r="H879" t="s">
        <v>17</v>
      </c>
      <c r="I879" s="9">
        <v>2024</v>
      </c>
      <c r="J879" s="9" t="str">
        <f t="shared" si="2"/>
        <v>090520242024</v>
      </c>
    </row>
    <row r="880" spans="1:10" s="9" customFormat="1" ht="15" customHeight="1" x14ac:dyDescent="0.3">
      <c r="A880" s="9" t="s">
        <v>2872</v>
      </c>
      <c r="B880" s="9">
        <v>110005399</v>
      </c>
      <c r="C880" s="9" t="s">
        <v>2797</v>
      </c>
      <c r="D880" s="9">
        <v>120046495</v>
      </c>
      <c r="E880" s="9" t="s">
        <v>2799</v>
      </c>
      <c r="F880" s="11" t="s">
        <v>3024</v>
      </c>
      <c r="H880" t="s">
        <v>17</v>
      </c>
      <c r="I880" s="9">
        <v>2024</v>
      </c>
      <c r="J880" s="9" t="str">
        <f t="shared" si="2"/>
        <v>090520242024</v>
      </c>
    </row>
    <row r="881" spans="1:10" s="9" customFormat="1" ht="15" customHeight="1" x14ac:dyDescent="0.3">
      <c r="A881" s="9" t="s">
        <v>2062</v>
      </c>
      <c r="B881" s="9">
        <v>516773</v>
      </c>
      <c r="C881" s="9" t="s">
        <v>2800</v>
      </c>
      <c r="D881" s="9">
        <v>120096347</v>
      </c>
      <c r="E881" s="9" t="s">
        <v>2801</v>
      </c>
      <c r="F881" s="11" t="s">
        <v>3018</v>
      </c>
      <c r="H881" t="s">
        <v>17</v>
      </c>
      <c r="I881" s="9">
        <v>2024</v>
      </c>
      <c r="J881" s="9" t="str">
        <f t="shared" si="2"/>
        <v>080120242024</v>
      </c>
    </row>
    <row r="882" spans="1:10" s="9" customFormat="1" ht="15" customHeight="1" x14ac:dyDescent="0.3">
      <c r="A882" s="9" t="s">
        <v>2062</v>
      </c>
      <c r="B882" s="9">
        <v>516773</v>
      </c>
      <c r="C882" s="9" t="s">
        <v>2802</v>
      </c>
      <c r="D882" s="9">
        <v>120171261</v>
      </c>
      <c r="E882" s="9" t="s">
        <v>2801</v>
      </c>
      <c r="F882" s="11" t="s">
        <v>3018</v>
      </c>
      <c r="H882" t="s">
        <v>17</v>
      </c>
      <c r="I882" s="9">
        <v>2024</v>
      </c>
      <c r="J882" s="9" t="str">
        <f t="shared" si="2"/>
        <v>080120242024</v>
      </c>
    </row>
    <row r="883" spans="1:10" s="9" customFormat="1" ht="15" customHeight="1" x14ac:dyDescent="0.3">
      <c r="A883" s="9" t="s">
        <v>1987</v>
      </c>
      <c r="B883" s="9">
        <v>110010046</v>
      </c>
      <c r="C883" s="9" t="s">
        <v>2738</v>
      </c>
      <c r="D883" s="9">
        <v>120141721</v>
      </c>
      <c r="E883" s="9" t="s">
        <v>2803</v>
      </c>
      <c r="F883" s="11" t="s">
        <v>3023</v>
      </c>
      <c r="H883" t="s">
        <v>17</v>
      </c>
      <c r="I883" s="9">
        <v>2024</v>
      </c>
      <c r="J883" s="9" t="str">
        <f t="shared" si="2"/>
        <v>072920242024</v>
      </c>
    </row>
    <row r="884" spans="1:10" s="9" customFormat="1" ht="15" customHeight="1" x14ac:dyDescent="0.3">
      <c r="A884" s="9" t="s">
        <v>1987</v>
      </c>
      <c r="B884" s="9">
        <v>110010046</v>
      </c>
      <c r="C884" s="9" t="s">
        <v>2738</v>
      </c>
      <c r="D884" s="9">
        <v>120141721</v>
      </c>
      <c r="E884" s="9" t="s">
        <v>2804</v>
      </c>
      <c r="F884" s="11" t="s">
        <v>3022</v>
      </c>
      <c r="H884" t="s">
        <v>17</v>
      </c>
      <c r="I884" s="9">
        <v>2024</v>
      </c>
      <c r="J884" s="9" t="str">
        <f t="shared" si="2"/>
        <v>072220242024</v>
      </c>
    </row>
    <row r="885" spans="1:10" s="9" customFormat="1" ht="15" customHeight="1" x14ac:dyDescent="0.3">
      <c r="A885" s="9" t="s">
        <v>2829</v>
      </c>
      <c r="B885" s="9">
        <v>120172476</v>
      </c>
      <c r="C885" s="9" t="s">
        <v>2805</v>
      </c>
      <c r="D885" s="9">
        <v>120172479</v>
      </c>
      <c r="E885" s="9" t="s">
        <v>1415</v>
      </c>
      <c r="F885" s="11" t="s">
        <v>3021</v>
      </c>
      <c r="H885" t="s">
        <v>17</v>
      </c>
      <c r="I885" s="9">
        <v>2024</v>
      </c>
      <c r="J885" s="9" t="str">
        <f t="shared" si="2"/>
        <v>081320242024</v>
      </c>
    </row>
    <row r="886" spans="1:10" s="9" customFormat="1" ht="15" customHeight="1" x14ac:dyDescent="0.3">
      <c r="A886" s="9" t="s">
        <v>2829</v>
      </c>
      <c r="B886" s="9">
        <v>120172476</v>
      </c>
      <c r="C886" s="9" t="s">
        <v>2806</v>
      </c>
      <c r="D886" s="9">
        <v>120172478</v>
      </c>
      <c r="E886" s="9" t="s">
        <v>1415</v>
      </c>
      <c r="F886" s="11" t="s">
        <v>3021</v>
      </c>
      <c r="H886" t="s">
        <v>17</v>
      </c>
      <c r="I886" s="9">
        <v>2024</v>
      </c>
      <c r="J886" s="9" t="str">
        <f t="shared" si="2"/>
        <v>081320242024</v>
      </c>
    </row>
    <row r="887" spans="1:10" s="9" customFormat="1" ht="15" customHeight="1" x14ac:dyDescent="0.3">
      <c r="A887" s="9" t="s">
        <v>2829</v>
      </c>
      <c r="B887" s="9">
        <v>120172476</v>
      </c>
      <c r="C887" s="9" t="s">
        <v>2807</v>
      </c>
      <c r="D887" s="9">
        <v>120172477</v>
      </c>
      <c r="E887" s="9" t="s">
        <v>1415</v>
      </c>
      <c r="F887" s="11" t="s">
        <v>3021</v>
      </c>
      <c r="H887" t="s">
        <v>17</v>
      </c>
      <c r="I887" s="9">
        <v>2024</v>
      </c>
      <c r="J887" s="9" t="str">
        <f t="shared" si="2"/>
        <v>081320242024</v>
      </c>
    </row>
    <row r="888" spans="1:10" s="9" customFormat="1" ht="15" customHeight="1" x14ac:dyDescent="0.3">
      <c r="A888" s="9" t="s">
        <v>39</v>
      </c>
      <c r="B888" s="9">
        <v>534217</v>
      </c>
      <c r="C888" s="9" t="s">
        <v>1929</v>
      </c>
      <c r="D888" s="9" t="s">
        <v>1939</v>
      </c>
      <c r="E888" s="9" t="s">
        <v>2795</v>
      </c>
      <c r="F888" s="11" t="s">
        <v>3020</v>
      </c>
      <c r="H888" t="s">
        <v>17</v>
      </c>
      <c r="I888" s="9">
        <v>2024</v>
      </c>
      <c r="J888" s="9" t="str">
        <f t="shared" si="2"/>
        <v>080720242024</v>
      </c>
    </row>
    <row r="889" spans="1:10" s="9" customFormat="1" ht="15" customHeight="1" x14ac:dyDescent="0.3">
      <c r="A889" s="9" t="s">
        <v>39</v>
      </c>
      <c r="B889" s="9">
        <v>534217</v>
      </c>
      <c r="C889" s="9" t="s">
        <v>1929</v>
      </c>
      <c r="D889" s="9" t="s">
        <v>1939</v>
      </c>
      <c r="E889" s="9" t="s">
        <v>2795</v>
      </c>
      <c r="F889" s="11" t="s">
        <v>3019</v>
      </c>
      <c r="H889" t="s">
        <v>17</v>
      </c>
      <c r="I889" s="9">
        <v>2024</v>
      </c>
      <c r="J889" s="9" t="str">
        <f t="shared" si="2"/>
        <v>080620242024</v>
      </c>
    </row>
    <row r="890" spans="1:10" s="9" customFormat="1" ht="15" customHeight="1" x14ac:dyDescent="0.3">
      <c r="A890" s="9" t="s">
        <v>2062</v>
      </c>
      <c r="B890" s="9">
        <v>516773</v>
      </c>
      <c r="C890" s="9" t="s">
        <v>1970</v>
      </c>
      <c r="D890" s="9">
        <v>100731633</v>
      </c>
      <c r="E890" s="9" t="s">
        <v>2970</v>
      </c>
      <c r="F890" s="11" t="s">
        <v>3018</v>
      </c>
      <c r="H890" t="s">
        <v>17</v>
      </c>
      <c r="I890" s="9">
        <v>2024</v>
      </c>
      <c r="J890" s="9" t="str">
        <f t="shared" si="2"/>
        <v>080120242024</v>
      </c>
    </row>
    <row r="891" spans="1:10" s="9" customFormat="1" ht="15" customHeight="1" x14ac:dyDescent="0.3">
      <c r="A891" s="9" t="s">
        <v>2062</v>
      </c>
      <c r="B891" s="9">
        <v>516773</v>
      </c>
      <c r="C891" s="9" t="s">
        <v>1971</v>
      </c>
      <c r="D891" s="9">
        <v>100731627</v>
      </c>
      <c r="E891" s="9" t="s">
        <v>2970</v>
      </c>
      <c r="F891" s="11" t="s">
        <v>3018</v>
      </c>
      <c r="H891" t="s">
        <v>17</v>
      </c>
      <c r="I891" s="9">
        <v>2024</v>
      </c>
      <c r="J891" s="9" t="str">
        <f t="shared" si="2"/>
        <v>080120242024</v>
      </c>
    </row>
    <row r="892" spans="1:10" s="9" customFormat="1" ht="15" customHeight="1" x14ac:dyDescent="0.3">
      <c r="A892" s="9" t="s">
        <v>2062</v>
      </c>
      <c r="B892" s="9">
        <v>516773</v>
      </c>
      <c r="C892" s="9" t="s">
        <v>2064</v>
      </c>
      <c r="D892" s="9">
        <v>120171264</v>
      </c>
      <c r="E892" s="9" t="s">
        <v>2970</v>
      </c>
      <c r="F892" s="11" t="s">
        <v>3018</v>
      </c>
      <c r="H892" t="s">
        <v>17</v>
      </c>
      <c r="I892" s="9">
        <v>2024</v>
      </c>
      <c r="J892" s="9" t="str">
        <f t="shared" si="2"/>
        <v>080120242024</v>
      </c>
    </row>
    <row r="893" spans="1:10" s="9" customFormat="1" ht="15" customHeight="1" x14ac:dyDescent="0.3">
      <c r="A893" s="9" t="s">
        <v>2062</v>
      </c>
      <c r="B893" s="9">
        <v>516773</v>
      </c>
      <c r="C893" s="9" t="s">
        <v>2066</v>
      </c>
      <c r="D893" s="9">
        <v>120171263</v>
      </c>
      <c r="E893" s="9" t="s">
        <v>2970</v>
      </c>
      <c r="F893" s="11" t="s">
        <v>3018</v>
      </c>
      <c r="H893" t="s">
        <v>17</v>
      </c>
      <c r="I893" s="9">
        <v>2024</v>
      </c>
      <c r="J893" s="9" t="str">
        <f t="shared" si="2"/>
        <v>080120242024</v>
      </c>
    </row>
    <row r="894" spans="1:10" s="9" customFormat="1" ht="15" customHeight="1" x14ac:dyDescent="0.3">
      <c r="A894" s="9" t="s">
        <v>2062</v>
      </c>
      <c r="B894" s="9">
        <v>516773</v>
      </c>
      <c r="C894" s="9" t="s">
        <v>1972</v>
      </c>
      <c r="D894" s="9">
        <v>100731630</v>
      </c>
      <c r="E894" s="9" t="s">
        <v>2970</v>
      </c>
      <c r="F894" s="11" t="s">
        <v>3018</v>
      </c>
      <c r="H894" t="s">
        <v>17</v>
      </c>
      <c r="I894" s="9">
        <v>2024</v>
      </c>
      <c r="J894" s="9" t="str">
        <f t="shared" si="2"/>
        <v>080120242024</v>
      </c>
    </row>
    <row r="895" spans="1:10" s="9" customFormat="1" ht="15" customHeight="1" x14ac:dyDescent="0.3">
      <c r="A895" s="9" t="s">
        <v>2820</v>
      </c>
      <c r="B895" s="9">
        <v>120081834</v>
      </c>
      <c r="C895" s="9" t="s">
        <v>2781</v>
      </c>
      <c r="D895" s="9">
        <v>120112665</v>
      </c>
      <c r="E895" s="9" t="s">
        <v>2778</v>
      </c>
      <c r="F895" s="11" t="s">
        <v>3002</v>
      </c>
      <c r="I895" s="9">
        <v>2024</v>
      </c>
      <c r="J895" s="9" t="s">
        <v>3029</v>
      </c>
    </row>
    <row r="896" spans="1:10" s="9" customFormat="1" ht="15" customHeight="1" x14ac:dyDescent="0.3">
      <c r="A896" s="9" t="s">
        <v>39</v>
      </c>
      <c r="B896" s="9">
        <v>534217</v>
      </c>
      <c r="C896" s="9" t="s">
        <v>1991</v>
      </c>
      <c r="D896" s="9">
        <v>100924649</v>
      </c>
      <c r="E896" s="9" t="s">
        <v>2788</v>
      </c>
      <c r="F896" s="11" t="s">
        <v>3028</v>
      </c>
      <c r="I896" s="9">
        <v>2024</v>
      </c>
      <c r="J896" s="9" t="s">
        <v>3030</v>
      </c>
    </row>
    <row r="897" spans="1:10" s="9" customFormat="1" ht="15" customHeight="1" x14ac:dyDescent="0.3">
      <c r="A897" s="9" t="s">
        <v>2062</v>
      </c>
      <c r="B897" s="9">
        <v>516773</v>
      </c>
      <c r="C897" s="9" t="s">
        <v>2063</v>
      </c>
      <c r="D897" s="9">
        <v>100731635</v>
      </c>
      <c r="E897" s="9" t="s">
        <v>2970</v>
      </c>
      <c r="F897" s="11" t="s">
        <v>3018</v>
      </c>
      <c r="I897" s="9">
        <v>2024</v>
      </c>
      <c r="J897" s="9" t="s">
        <v>3031</v>
      </c>
    </row>
    <row r="898" spans="1:10" s="9" customFormat="1" ht="15" customHeight="1" x14ac:dyDescent="0.3">
      <c r="A898" s="9" t="s">
        <v>2820</v>
      </c>
      <c r="B898" s="9">
        <v>120081834</v>
      </c>
      <c r="C898" s="9" t="s">
        <v>2781</v>
      </c>
      <c r="D898" s="9">
        <v>120112665</v>
      </c>
      <c r="E898" s="9" t="s">
        <v>2778</v>
      </c>
      <c r="F898" s="11" t="s">
        <v>3002</v>
      </c>
      <c r="H898" t="s">
        <v>17</v>
      </c>
      <c r="I898" s="9">
        <v>2024</v>
      </c>
      <c r="J898" s="9" t="s">
        <v>3029</v>
      </c>
    </row>
    <row r="899" spans="1:10" s="9" customFormat="1" ht="15" customHeight="1" x14ac:dyDescent="0.3">
      <c r="A899" s="9" t="s">
        <v>39</v>
      </c>
      <c r="B899" s="9">
        <v>534217</v>
      </c>
      <c r="C899" s="9" t="s">
        <v>1991</v>
      </c>
      <c r="D899" s="9">
        <v>100748289</v>
      </c>
      <c r="E899" s="9" t="s">
        <v>2788</v>
      </c>
      <c r="F899" s="11" t="s">
        <v>3028</v>
      </c>
      <c r="H899" t="s">
        <v>17</v>
      </c>
      <c r="I899" s="9">
        <v>2024</v>
      </c>
      <c r="J899" s="9" t="s">
        <v>3030</v>
      </c>
    </row>
    <row r="900" spans="1:10" s="9" customFormat="1" ht="15" customHeight="1" x14ac:dyDescent="0.3">
      <c r="A900" s="9" t="s">
        <v>2062</v>
      </c>
      <c r="B900" s="9">
        <v>516773</v>
      </c>
      <c r="C900" s="9" t="s">
        <v>3033</v>
      </c>
      <c r="D900" s="9">
        <v>100731635</v>
      </c>
      <c r="E900" s="9" t="s">
        <v>2970</v>
      </c>
      <c r="F900" s="11" t="s">
        <v>3018</v>
      </c>
      <c r="H900" t="s">
        <v>17</v>
      </c>
      <c r="I900" s="9">
        <v>2024</v>
      </c>
      <c r="J900" s="9" t="s">
        <v>3031</v>
      </c>
    </row>
    <row r="901" spans="1:10" s="9" customFormat="1" ht="15" customHeight="1" x14ac:dyDescent="0.3">
      <c r="A901" s="9" t="s">
        <v>2062</v>
      </c>
      <c r="B901" s="9">
        <v>516773</v>
      </c>
      <c r="C901" s="9" t="s">
        <v>3032</v>
      </c>
      <c r="D901" s="9">
        <v>100731636</v>
      </c>
      <c r="E901" s="9" t="s">
        <v>2970</v>
      </c>
      <c r="F901" s="11" t="s">
        <v>3018</v>
      </c>
      <c r="H901" t="s">
        <v>17</v>
      </c>
      <c r="I901" s="9">
        <v>2024</v>
      </c>
      <c r="J901" s="9" t="str">
        <f t="shared" ref="J901:J919" si="3">_xlfn.CONCAT(F901,I901)</f>
        <v>080120242024</v>
      </c>
    </row>
    <row r="902" spans="1:10" s="9" customFormat="1" ht="15" customHeight="1" x14ac:dyDescent="0.3">
      <c r="A902" s="9" t="s">
        <v>2062</v>
      </c>
      <c r="B902" s="9">
        <v>516773</v>
      </c>
      <c r="C902" s="9" t="s">
        <v>1973</v>
      </c>
      <c r="D902" s="9">
        <v>100731634</v>
      </c>
      <c r="E902" s="9" t="s">
        <v>2970</v>
      </c>
      <c r="F902" s="11" t="s">
        <v>3018</v>
      </c>
      <c r="H902" t="s">
        <v>17</v>
      </c>
      <c r="I902" s="9">
        <v>2024</v>
      </c>
      <c r="J902" s="9" t="str">
        <f t="shared" si="3"/>
        <v>080120242024</v>
      </c>
    </row>
    <row r="903" spans="1:10" s="9" customFormat="1" ht="15" customHeight="1" x14ac:dyDescent="0.3">
      <c r="A903" s="9" t="s">
        <v>2062</v>
      </c>
      <c r="B903" s="9">
        <v>516773</v>
      </c>
      <c r="C903" s="9" t="s">
        <v>1974</v>
      </c>
      <c r="D903" s="9">
        <v>100731631</v>
      </c>
      <c r="E903" s="9" t="s">
        <v>2970</v>
      </c>
      <c r="F903" s="11" t="s">
        <v>3018</v>
      </c>
      <c r="H903" t="s">
        <v>17</v>
      </c>
      <c r="I903" s="9">
        <v>2024</v>
      </c>
      <c r="J903" s="9" t="str">
        <f t="shared" si="3"/>
        <v>080120242024</v>
      </c>
    </row>
    <row r="904" spans="1:10" s="9" customFormat="1" ht="15" customHeight="1" x14ac:dyDescent="0.3">
      <c r="A904" s="9" t="s">
        <v>2062</v>
      </c>
      <c r="B904" s="9">
        <v>516773</v>
      </c>
      <c r="C904" s="9" t="s">
        <v>1975</v>
      </c>
      <c r="D904" s="9">
        <v>120096347</v>
      </c>
      <c r="E904" s="9" t="s">
        <v>2970</v>
      </c>
      <c r="F904" s="11" t="s">
        <v>3018</v>
      </c>
      <c r="H904" t="s">
        <v>17</v>
      </c>
      <c r="I904" s="9">
        <v>2024</v>
      </c>
      <c r="J904" s="9" t="str">
        <f t="shared" si="3"/>
        <v>080120242024</v>
      </c>
    </row>
    <row r="905" spans="1:10" s="9" customFormat="1" ht="15" customHeight="1" x14ac:dyDescent="0.3">
      <c r="A905" s="9" t="s">
        <v>2062</v>
      </c>
      <c r="B905" s="9">
        <v>516773</v>
      </c>
      <c r="C905" s="9" t="s">
        <v>1976</v>
      </c>
      <c r="D905" s="9">
        <v>120096475</v>
      </c>
      <c r="E905" s="9" t="s">
        <v>2970</v>
      </c>
      <c r="F905" s="11" t="s">
        <v>3018</v>
      </c>
      <c r="H905" t="s">
        <v>17</v>
      </c>
      <c r="I905" s="9">
        <v>2024</v>
      </c>
      <c r="J905" s="9" t="str">
        <f t="shared" si="3"/>
        <v>080120242024</v>
      </c>
    </row>
    <row r="906" spans="1:10" s="9" customFormat="1" ht="15" customHeight="1" x14ac:dyDescent="0.3">
      <c r="A906" s="9" t="s">
        <v>2062</v>
      </c>
      <c r="B906" s="9">
        <v>516773</v>
      </c>
      <c r="C906" s="9" t="s">
        <v>1977</v>
      </c>
      <c r="D906" s="9">
        <v>100731638</v>
      </c>
      <c r="E906" s="9" t="s">
        <v>2970</v>
      </c>
      <c r="F906" s="11" t="s">
        <v>3018</v>
      </c>
      <c r="H906" t="s">
        <v>17</v>
      </c>
      <c r="I906" s="9">
        <v>2024</v>
      </c>
      <c r="J906" s="9" t="str">
        <f t="shared" si="3"/>
        <v>080120242024</v>
      </c>
    </row>
    <row r="907" spans="1:10" s="9" customFormat="1" ht="15" customHeight="1" x14ac:dyDescent="0.3">
      <c r="A907" s="9" t="s">
        <v>2062</v>
      </c>
      <c r="B907" s="9">
        <v>516773</v>
      </c>
      <c r="C907" s="9" t="s">
        <v>2068</v>
      </c>
      <c r="D907" s="9">
        <v>120171261</v>
      </c>
      <c r="E907" s="9" t="s">
        <v>2970</v>
      </c>
      <c r="F907" s="11" t="s">
        <v>3018</v>
      </c>
      <c r="H907" t="s">
        <v>17</v>
      </c>
      <c r="I907" s="9">
        <v>2024</v>
      </c>
      <c r="J907" s="9" t="str">
        <f t="shared" si="3"/>
        <v>080120242024</v>
      </c>
    </row>
    <row r="908" spans="1:10" s="9" customFormat="1" ht="15" customHeight="1" x14ac:dyDescent="0.3">
      <c r="A908" s="9" t="s">
        <v>2062</v>
      </c>
      <c r="B908" s="9">
        <v>516773</v>
      </c>
      <c r="C908" s="9" t="s">
        <v>2006</v>
      </c>
      <c r="D908" s="9">
        <v>120171262</v>
      </c>
      <c r="E908" s="9" t="s">
        <v>2970</v>
      </c>
      <c r="F908" s="11" t="s">
        <v>3018</v>
      </c>
      <c r="H908" t="s">
        <v>17</v>
      </c>
      <c r="I908" s="9">
        <v>2024</v>
      </c>
      <c r="J908" s="9" t="str">
        <f t="shared" si="3"/>
        <v>080120242024</v>
      </c>
    </row>
    <row r="909" spans="1:10" s="9" customFormat="1" ht="15" customHeight="1" x14ac:dyDescent="0.3">
      <c r="A909" s="9" t="s">
        <v>2062</v>
      </c>
      <c r="B909" s="9">
        <v>516773</v>
      </c>
      <c r="C909" s="9" t="s">
        <v>2071</v>
      </c>
      <c r="D909" s="9">
        <v>100731629</v>
      </c>
      <c r="E909" s="9" t="s">
        <v>2970</v>
      </c>
      <c r="F909" s="11" t="s">
        <v>3018</v>
      </c>
      <c r="H909" t="s">
        <v>17</v>
      </c>
      <c r="I909" s="9">
        <v>2024</v>
      </c>
      <c r="J909" s="9" t="str">
        <f t="shared" si="3"/>
        <v>080120242024</v>
      </c>
    </row>
    <row r="910" spans="1:10" s="9" customFormat="1" ht="15" customHeight="1" x14ac:dyDescent="0.3">
      <c r="A910" s="9" t="s">
        <v>2062</v>
      </c>
      <c r="B910" s="9">
        <v>516773</v>
      </c>
      <c r="C910" s="9" t="s">
        <v>2072</v>
      </c>
      <c r="D910" s="9">
        <v>100731637</v>
      </c>
      <c r="E910" s="9" t="s">
        <v>2970</v>
      </c>
      <c r="F910" s="11" t="s">
        <v>3018</v>
      </c>
      <c r="H910" t="s">
        <v>17</v>
      </c>
      <c r="I910" s="9">
        <v>2024</v>
      </c>
      <c r="J910" s="9" t="str">
        <f t="shared" si="3"/>
        <v>080120242024</v>
      </c>
    </row>
    <row r="911" spans="1:10" s="9" customFormat="1" ht="15" customHeight="1" x14ac:dyDescent="0.3">
      <c r="A911" s="9" t="s">
        <v>2062</v>
      </c>
      <c r="B911" s="9">
        <v>516773</v>
      </c>
      <c r="C911" s="9" t="s">
        <v>2074</v>
      </c>
      <c r="D911" s="9">
        <v>100731632</v>
      </c>
      <c r="E911" s="9" t="s">
        <v>2970</v>
      </c>
      <c r="F911" s="11" t="s">
        <v>3018</v>
      </c>
      <c r="H911" t="s">
        <v>17</v>
      </c>
      <c r="I911" s="9">
        <v>2024</v>
      </c>
      <c r="J911" s="9" t="str">
        <f t="shared" si="3"/>
        <v>080120242024</v>
      </c>
    </row>
    <row r="912" spans="1:10" s="9" customFormat="1" ht="15" customHeight="1" x14ac:dyDescent="0.3">
      <c r="A912" s="9" t="s">
        <v>2062</v>
      </c>
      <c r="B912" s="9">
        <v>516773</v>
      </c>
      <c r="C912" s="9" t="s">
        <v>2076</v>
      </c>
      <c r="D912" s="9">
        <v>100731628</v>
      </c>
      <c r="E912" s="9" t="s">
        <v>2970</v>
      </c>
      <c r="F912" s="11" t="s">
        <v>3018</v>
      </c>
      <c r="H912" t="s">
        <v>17</v>
      </c>
      <c r="I912" s="9">
        <v>2024</v>
      </c>
      <c r="J912" s="9" t="str">
        <f t="shared" si="3"/>
        <v>080120242024</v>
      </c>
    </row>
    <row r="913" spans="1:10" s="9" customFormat="1" ht="15" customHeight="1" x14ac:dyDescent="0.3">
      <c r="A913" s="9" t="s">
        <v>2009</v>
      </c>
      <c r="B913" s="9">
        <v>120091794</v>
      </c>
      <c r="C913" s="9" t="s">
        <v>2084</v>
      </c>
      <c r="D913" s="9">
        <v>120091795</v>
      </c>
      <c r="E913" s="9" t="s">
        <v>2971</v>
      </c>
      <c r="F913" s="11" t="s">
        <v>3034</v>
      </c>
      <c r="H913" t="s">
        <v>17</v>
      </c>
      <c r="I913" s="9">
        <v>2024</v>
      </c>
      <c r="J913" s="9" t="str">
        <f t="shared" si="3"/>
        <v>072320242024</v>
      </c>
    </row>
    <row r="914" spans="1:10" s="9" customFormat="1" ht="15" customHeight="1" x14ac:dyDescent="0.3">
      <c r="A914" s="9" t="s">
        <v>2009</v>
      </c>
      <c r="B914" s="9">
        <v>120091794</v>
      </c>
      <c r="C914" s="9" t="s">
        <v>2972</v>
      </c>
      <c r="D914" s="9">
        <v>120091797</v>
      </c>
      <c r="E914" s="9" t="s">
        <v>2971</v>
      </c>
      <c r="F914" s="11" t="s">
        <v>3034</v>
      </c>
      <c r="H914" t="s">
        <v>17</v>
      </c>
      <c r="I914" s="9">
        <v>2024</v>
      </c>
      <c r="J914" s="9" t="str">
        <f t="shared" si="3"/>
        <v>072320242024</v>
      </c>
    </row>
    <row r="915" spans="1:10" s="9" customFormat="1" ht="15" customHeight="1" x14ac:dyDescent="0.3">
      <c r="A915" s="9" t="s">
        <v>2980</v>
      </c>
      <c r="B915" s="9">
        <v>7468017</v>
      </c>
      <c r="C915" s="9" t="s">
        <v>2973</v>
      </c>
      <c r="D915" s="9">
        <v>120043485</v>
      </c>
      <c r="E915" s="9" t="s">
        <v>2974</v>
      </c>
      <c r="F915" s="11" t="s">
        <v>3022</v>
      </c>
      <c r="H915" t="s">
        <v>17</v>
      </c>
      <c r="I915" s="9">
        <v>2024</v>
      </c>
      <c r="J915" s="9" t="str">
        <f t="shared" si="3"/>
        <v>072220242024</v>
      </c>
    </row>
    <row r="916" spans="1:10" s="9" customFormat="1" ht="15" customHeight="1" x14ac:dyDescent="0.3">
      <c r="A916" s="9" t="s">
        <v>2980</v>
      </c>
      <c r="B916" s="9">
        <v>7468017</v>
      </c>
      <c r="C916" s="9" t="s">
        <v>2975</v>
      </c>
      <c r="D916" s="9">
        <v>120172607</v>
      </c>
      <c r="E916" s="9" t="s">
        <v>2974</v>
      </c>
      <c r="F916" s="11" t="s">
        <v>3022</v>
      </c>
      <c r="H916" t="s">
        <v>17</v>
      </c>
      <c r="I916" s="9">
        <v>2024</v>
      </c>
      <c r="J916" s="9" t="str">
        <f t="shared" si="3"/>
        <v>072220242024</v>
      </c>
    </row>
    <row r="917" spans="1:10" s="9" customFormat="1" ht="15" customHeight="1" x14ac:dyDescent="0.3">
      <c r="A917" s="9" t="s">
        <v>2980</v>
      </c>
      <c r="B917" s="9">
        <v>7468017</v>
      </c>
      <c r="C917" s="9" t="s">
        <v>2976</v>
      </c>
      <c r="D917" s="9">
        <v>120172608</v>
      </c>
      <c r="E917" s="9" t="s">
        <v>2974</v>
      </c>
      <c r="F917" s="11" t="s">
        <v>3022</v>
      </c>
      <c r="H917" t="s">
        <v>17</v>
      </c>
      <c r="I917" s="9">
        <v>2024</v>
      </c>
      <c r="J917" s="9" t="str">
        <f t="shared" si="3"/>
        <v>072220242024</v>
      </c>
    </row>
    <row r="918" spans="1:10" s="9" customFormat="1" ht="15" customHeight="1" x14ac:dyDescent="0.3">
      <c r="A918" s="9" t="s">
        <v>2980</v>
      </c>
      <c r="B918" s="9">
        <v>7468017</v>
      </c>
      <c r="C918" s="9" t="s">
        <v>2977</v>
      </c>
      <c r="D918" s="9">
        <v>120172630</v>
      </c>
      <c r="E918" s="9" t="s">
        <v>2974</v>
      </c>
      <c r="F918" s="11" t="s">
        <v>3022</v>
      </c>
      <c r="H918" t="s">
        <v>17</v>
      </c>
      <c r="I918" s="9">
        <v>2024</v>
      </c>
      <c r="J918" s="9" t="str">
        <f t="shared" si="3"/>
        <v>072220242024</v>
      </c>
    </row>
    <row r="919" spans="1:10" s="9" customFormat="1" ht="15" customHeight="1" x14ac:dyDescent="0.3">
      <c r="A919" s="9" t="s">
        <v>2980</v>
      </c>
      <c r="B919" s="9">
        <v>7468017</v>
      </c>
      <c r="C919" s="9" t="s">
        <v>2978</v>
      </c>
      <c r="D919" s="9">
        <v>120172631</v>
      </c>
      <c r="E919" s="9" t="s">
        <v>2974</v>
      </c>
      <c r="F919" s="11" t="s">
        <v>3022</v>
      </c>
      <c r="H919" t="s">
        <v>17</v>
      </c>
      <c r="I919" s="9">
        <v>2024</v>
      </c>
      <c r="J919" s="9" t="str">
        <f t="shared" si="3"/>
        <v>072220242024</v>
      </c>
    </row>
    <row r="920" spans="1:10" ht="15" customHeight="1" x14ac:dyDescent="0.3">
      <c r="A920" t="s">
        <v>1969</v>
      </c>
      <c r="B920">
        <v>110006112</v>
      </c>
      <c r="C920" t="s">
        <v>1958</v>
      </c>
      <c r="D920">
        <v>101116241</v>
      </c>
      <c r="E920" t="s">
        <v>3035</v>
      </c>
      <c r="F920" s="2" t="s">
        <v>3043</v>
      </c>
      <c r="G920" t="s">
        <v>3036</v>
      </c>
      <c r="H920" t="s">
        <v>17</v>
      </c>
    </row>
    <row r="921" spans="1:10" ht="15" customHeight="1" x14ac:dyDescent="0.3">
      <c r="A921" t="s">
        <v>1969</v>
      </c>
      <c r="B921">
        <v>110006112</v>
      </c>
      <c r="C921" t="s">
        <v>1959</v>
      </c>
      <c r="D921">
        <v>101134648</v>
      </c>
      <c r="E921" t="s">
        <v>3035</v>
      </c>
      <c r="F921" s="2" t="s">
        <v>3043</v>
      </c>
      <c r="G921" t="s">
        <v>3036</v>
      </c>
      <c r="H921" t="s">
        <v>17</v>
      </c>
    </row>
    <row r="922" spans="1:10" ht="15" customHeight="1" x14ac:dyDescent="0.3">
      <c r="A922" t="s">
        <v>1969</v>
      </c>
      <c r="B922">
        <v>110006112</v>
      </c>
      <c r="C922" t="s">
        <v>1962</v>
      </c>
      <c r="D922">
        <v>101140281</v>
      </c>
      <c r="E922" t="s">
        <v>3035</v>
      </c>
      <c r="F922" s="2" t="s">
        <v>3043</v>
      </c>
      <c r="G922" t="s">
        <v>3036</v>
      </c>
      <c r="H922" t="s">
        <v>17</v>
      </c>
    </row>
    <row r="923" spans="1:10" ht="15" customHeight="1" x14ac:dyDescent="0.3">
      <c r="A923" t="s">
        <v>1969</v>
      </c>
      <c r="B923">
        <v>110006112</v>
      </c>
      <c r="C923" t="s">
        <v>2760</v>
      </c>
      <c r="D923">
        <v>120172473</v>
      </c>
      <c r="E923" t="s">
        <v>3035</v>
      </c>
      <c r="F923" s="2" t="s">
        <v>3043</v>
      </c>
      <c r="G923" t="s">
        <v>3036</v>
      </c>
      <c r="H923" t="s">
        <v>17</v>
      </c>
    </row>
    <row r="924" spans="1:10" ht="15" customHeight="1" x14ac:dyDescent="0.3">
      <c r="A924" t="s">
        <v>39</v>
      </c>
      <c r="B924">
        <v>534217</v>
      </c>
      <c r="C924" t="s">
        <v>1991</v>
      </c>
      <c r="D924">
        <v>100748289</v>
      </c>
      <c r="E924" t="s">
        <v>3037</v>
      </c>
      <c r="F924" s="2" t="s">
        <v>3044</v>
      </c>
      <c r="H924" t="s">
        <v>17</v>
      </c>
    </row>
    <row r="925" spans="1:10" ht="15" customHeight="1" x14ac:dyDescent="0.3">
      <c r="A925" t="s">
        <v>39</v>
      </c>
      <c r="B925">
        <v>534217</v>
      </c>
      <c r="C925" t="s">
        <v>1922</v>
      </c>
      <c r="D925" t="s">
        <v>1932</v>
      </c>
      <c r="E925" t="s">
        <v>3037</v>
      </c>
      <c r="F925" s="2" t="s">
        <v>3044</v>
      </c>
      <c r="H925" t="s">
        <v>17</v>
      </c>
    </row>
    <row r="926" spans="1:10" ht="15" customHeight="1" x14ac:dyDescent="0.3">
      <c r="A926" t="s">
        <v>39</v>
      </c>
      <c r="B926">
        <v>534217</v>
      </c>
      <c r="C926" t="s">
        <v>1928</v>
      </c>
      <c r="D926" t="s">
        <v>1938</v>
      </c>
      <c r="E926" t="s">
        <v>3038</v>
      </c>
      <c r="F926" s="2" t="s">
        <v>3045</v>
      </c>
      <c r="H926" t="s">
        <v>17</v>
      </c>
    </row>
    <row r="927" spans="1:10" ht="15" customHeight="1" x14ac:dyDescent="0.3">
      <c r="A927" t="s">
        <v>1916</v>
      </c>
      <c r="B927">
        <v>120081833</v>
      </c>
      <c r="C927" t="s">
        <v>1915</v>
      </c>
      <c r="D927">
        <v>120081984</v>
      </c>
      <c r="E927" t="s">
        <v>3039</v>
      </c>
      <c r="F927" s="2" t="s">
        <v>3046</v>
      </c>
      <c r="H927" t="s">
        <v>17</v>
      </c>
    </row>
    <row r="928" spans="1:10" ht="15" customHeight="1" x14ac:dyDescent="0.3">
      <c r="A928" t="s">
        <v>2816</v>
      </c>
      <c r="B928">
        <v>120141398</v>
      </c>
      <c r="C928" t="s">
        <v>2815</v>
      </c>
      <c r="D928">
        <v>120141740</v>
      </c>
      <c r="E928" t="s">
        <v>3040</v>
      </c>
      <c r="F928" s="2" t="s">
        <v>3042</v>
      </c>
      <c r="H928" t="s">
        <v>17</v>
      </c>
    </row>
    <row r="929" spans="1:8" ht="15" customHeight="1" x14ac:dyDescent="0.3">
      <c r="A929" t="s">
        <v>2816</v>
      </c>
      <c r="B929">
        <v>120141398</v>
      </c>
      <c r="C929" t="s">
        <v>2818</v>
      </c>
      <c r="D929">
        <v>120141399</v>
      </c>
      <c r="E929" t="s">
        <v>3040</v>
      </c>
      <c r="F929" s="2" t="s">
        <v>3042</v>
      </c>
      <c r="H929" t="s">
        <v>17</v>
      </c>
    </row>
    <row r="930" spans="1:8" ht="15" customHeight="1" x14ac:dyDescent="0.3">
      <c r="A930" t="s">
        <v>2820</v>
      </c>
      <c r="B930">
        <v>120081834</v>
      </c>
      <c r="C930" t="s">
        <v>2859</v>
      </c>
      <c r="D930">
        <v>120112665</v>
      </c>
      <c r="E930" t="s">
        <v>1668</v>
      </c>
      <c r="F930" s="2" t="s">
        <v>3042</v>
      </c>
      <c r="H930" t="s">
        <v>17</v>
      </c>
    </row>
    <row r="931" spans="1:8" ht="15" customHeight="1" x14ac:dyDescent="0.3">
      <c r="A931" t="s">
        <v>2820</v>
      </c>
      <c r="B931">
        <v>120081834</v>
      </c>
      <c r="C931" t="s">
        <v>2822</v>
      </c>
      <c r="D931">
        <v>120112664</v>
      </c>
      <c r="E931" t="s">
        <v>1668</v>
      </c>
      <c r="F931" s="2" t="s">
        <v>3042</v>
      </c>
      <c r="H931" t="s">
        <v>17</v>
      </c>
    </row>
    <row r="932" spans="1:8" ht="15" customHeight="1" x14ac:dyDescent="0.3">
      <c r="A932" t="s">
        <v>2820</v>
      </c>
      <c r="B932">
        <v>120081834</v>
      </c>
      <c r="C932" t="s">
        <v>2824</v>
      </c>
      <c r="D932">
        <v>120112663</v>
      </c>
      <c r="E932" t="s">
        <v>1668</v>
      </c>
      <c r="F932" s="2" t="s">
        <v>3042</v>
      </c>
      <c r="H932" t="s">
        <v>17</v>
      </c>
    </row>
    <row r="933" spans="1:8" ht="15" customHeight="1" x14ac:dyDescent="0.3">
      <c r="A933" t="s">
        <v>2820</v>
      </c>
      <c r="B933">
        <v>120081834</v>
      </c>
      <c r="C933" t="s">
        <v>2826</v>
      </c>
      <c r="D933">
        <v>120112666</v>
      </c>
      <c r="E933" t="s">
        <v>1668</v>
      </c>
      <c r="F933" s="2" t="s">
        <v>3042</v>
      </c>
      <c r="H933" t="s">
        <v>17</v>
      </c>
    </row>
    <row r="934" spans="1:8" ht="15" customHeight="1" x14ac:dyDescent="0.3">
      <c r="A934" t="s">
        <v>1998</v>
      </c>
      <c r="B934">
        <v>524787</v>
      </c>
      <c r="C934" t="s">
        <v>1997</v>
      </c>
      <c r="D934">
        <v>120171893</v>
      </c>
      <c r="E934" t="s">
        <v>3041</v>
      </c>
      <c r="F934" s="2" t="s">
        <v>3046</v>
      </c>
      <c r="H934" t="s">
        <v>17</v>
      </c>
    </row>
    <row r="935" spans="1:8" ht="15" customHeight="1" x14ac:dyDescent="0.3">
      <c r="A935" s="9" t="s">
        <v>3333</v>
      </c>
      <c r="B935" s="9">
        <v>0</v>
      </c>
      <c r="C935" s="9" t="s">
        <v>3771</v>
      </c>
      <c r="D935" s="9" t="s">
        <v>3558</v>
      </c>
      <c r="E935" s="9" t="s">
        <v>4142</v>
      </c>
      <c r="F935" s="11" t="s">
        <v>4143</v>
      </c>
      <c r="G935" s="9" t="s">
        <v>4144</v>
      </c>
      <c r="H935" t="s">
        <v>17</v>
      </c>
    </row>
    <row r="936" spans="1:8" ht="15" customHeight="1" x14ac:dyDescent="0.3">
      <c r="A936" s="9" t="s">
        <v>3333</v>
      </c>
      <c r="B936" s="9">
        <v>0</v>
      </c>
      <c r="C936" s="9" t="s">
        <v>3772</v>
      </c>
      <c r="D936" s="9" t="s">
        <v>3559</v>
      </c>
      <c r="E936" s="9" t="s">
        <v>4142</v>
      </c>
      <c r="F936" s="11" t="s">
        <v>4143</v>
      </c>
      <c r="G936" s="9" t="s">
        <v>4144</v>
      </c>
      <c r="H936" t="s">
        <v>17</v>
      </c>
    </row>
    <row r="937" spans="1:8" ht="15" customHeight="1" x14ac:dyDescent="0.3">
      <c r="A937" s="9" t="s">
        <v>3333</v>
      </c>
      <c r="B937" s="9">
        <v>0</v>
      </c>
      <c r="C937" s="9" t="s">
        <v>3773</v>
      </c>
      <c r="D937" s="9" t="s">
        <v>3560</v>
      </c>
      <c r="E937" s="9" t="s">
        <v>4142</v>
      </c>
      <c r="F937" s="11" t="s">
        <v>4143</v>
      </c>
      <c r="G937" s="9" t="s">
        <v>4144</v>
      </c>
      <c r="H937" t="s">
        <v>17</v>
      </c>
    </row>
    <row r="938" spans="1:8" ht="15" customHeight="1" x14ac:dyDescent="0.3">
      <c r="A938" s="9" t="s">
        <v>3333</v>
      </c>
      <c r="B938" s="9">
        <v>0</v>
      </c>
      <c r="C938" s="9" t="s">
        <v>3774</v>
      </c>
      <c r="D938" s="9" t="s">
        <v>3561</v>
      </c>
      <c r="E938" s="9" t="s">
        <v>4142</v>
      </c>
      <c r="F938" s="11" t="s">
        <v>4143</v>
      </c>
      <c r="G938" s="9" t="s">
        <v>4144</v>
      </c>
      <c r="H938" t="s">
        <v>17</v>
      </c>
    </row>
    <row r="939" spans="1:8" ht="15" customHeight="1" x14ac:dyDescent="0.3">
      <c r="A939" s="9" t="s">
        <v>3333</v>
      </c>
      <c r="B939" s="9">
        <v>0</v>
      </c>
      <c r="C939" s="9" t="s">
        <v>3775</v>
      </c>
      <c r="D939" s="9" t="s">
        <v>3562</v>
      </c>
      <c r="E939" s="9" t="s">
        <v>4142</v>
      </c>
      <c r="F939" s="11" t="s">
        <v>4143</v>
      </c>
      <c r="G939" s="9" t="s">
        <v>4144</v>
      </c>
      <c r="H939" t="s">
        <v>17</v>
      </c>
    </row>
    <row r="940" spans="1:8" ht="15" customHeight="1" x14ac:dyDescent="0.3">
      <c r="A940" s="9" t="s">
        <v>3333</v>
      </c>
      <c r="B940" s="9">
        <v>0</v>
      </c>
      <c r="C940" s="9" t="s">
        <v>3776</v>
      </c>
      <c r="D940" s="9" t="s">
        <v>3563</v>
      </c>
      <c r="E940" s="9" t="s">
        <v>4142</v>
      </c>
      <c r="F940" s="11" t="s">
        <v>4143</v>
      </c>
      <c r="G940" s="9" t="s">
        <v>4144</v>
      </c>
      <c r="H940" t="s">
        <v>17</v>
      </c>
    </row>
    <row r="941" spans="1:8" ht="15" customHeight="1" x14ac:dyDescent="0.3">
      <c r="A941" s="9" t="s">
        <v>3333</v>
      </c>
      <c r="B941" s="9">
        <v>0</v>
      </c>
      <c r="C941" s="9" t="s">
        <v>3777</v>
      </c>
      <c r="D941" s="9" t="s">
        <v>3564</v>
      </c>
      <c r="E941" s="9" t="s">
        <v>4142</v>
      </c>
      <c r="F941" s="11" t="s">
        <v>4143</v>
      </c>
      <c r="G941" s="9" t="s">
        <v>4144</v>
      </c>
      <c r="H941" t="s">
        <v>17</v>
      </c>
    </row>
    <row r="942" spans="1:8" ht="15" customHeight="1" x14ac:dyDescent="0.3">
      <c r="A942" s="9" t="s">
        <v>3333</v>
      </c>
      <c r="B942" s="9">
        <v>0</v>
      </c>
      <c r="C942" s="9" t="s">
        <v>3778</v>
      </c>
      <c r="D942" s="9" t="s">
        <v>3565</v>
      </c>
      <c r="E942" s="9" t="s">
        <v>4142</v>
      </c>
      <c r="F942" s="11" t="s">
        <v>4143</v>
      </c>
      <c r="G942" s="9" t="s">
        <v>4144</v>
      </c>
      <c r="H942" t="s">
        <v>17</v>
      </c>
    </row>
    <row r="943" spans="1:8" ht="15" customHeight="1" x14ac:dyDescent="0.3">
      <c r="A943" s="9" t="s">
        <v>3333</v>
      </c>
      <c r="B943" s="9">
        <v>0</v>
      </c>
      <c r="C943" s="9" t="s">
        <v>3779</v>
      </c>
      <c r="D943" s="9" t="s">
        <v>3566</v>
      </c>
      <c r="E943" s="9" t="s">
        <v>4142</v>
      </c>
      <c r="F943" s="11" t="s">
        <v>4143</v>
      </c>
      <c r="G943" s="9" t="s">
        <v>4144</v>
      </c>
      <c r="H943" t="s">
        <v>17</v>
      </c>
    </row>
    <row r="944" spans="1:8" ht="15" customHeight="1" x14ac:dyDescent="0.3">
      <c r="A944" s="9" t="s">
        <v>3333</v>
      </c>
      <c r="B944" s="9">
        <v>0</v>
      </c>
      <c r="C944" s="9" t="s">
        <v>3780</v>
      </c>
      <c r="D944" s="9" t="s">
        <v>3567</v>
      </c>
      <c r="E944" s="9" t="s">
        <v>4142</v>
      </c>
      <c r="F944" s="11" t="s">
        <v>4143</v>
      </c>
      <c r="G944" s="9" t="s">
        <v>4144</v>
      </c>
      <c r="H944" t="s">
        <v>17</v>
      </c>
    </row>
    <row r="945" spans="1:8" ht="15" customHeight="1" x14ac:dyDescent="0.3">
      <c r="A945" s="9" t="s">
        <v>3333</v>
      </c>
      <c r="B945" s="9">
        <v>0</v>
      </c>
      <c r="C945" s="9" t="s">
        <v>3781</v>
      </c>
      <c r="D945" s="9" t="s">
        <v>3568</v>
      </c>
      <c r="E945" s="9" t="s">
        <v>4142</v>
      </c>
      <c r="F945" s="11" t="s">
        <v>4143</v>
      </c>
      <c r="G945" s="9" t="s">
        <v>4144</v>
      </c>
      <c r="H945" t="s">
        <v>17</v>
      </c>
    </row>
    <row r="946" spans="1:8" ht="15" customHeight="1" x14ac:dyDescent="0.3">
      <c r="A946" s="9" t="s">
        <v>3333</v>
      </c>
      <c r="B946" s="9">
        <v>0</v>
      </c>
      <c r="C946" s="9" t="s">
        <v>3782</v>
      </c>
      <c r="D946" s="9" t="s">
        <v>3569</v>
      </c>
      <c r="E946" s="9" t="s">
        <v>4142</v>
      </c>
      <c r="F946" s="11" t="s">
        <v>4143</v>
      </c>
      <c r="G946" s="9" t="s">
        <v>4144</v>
      </c>
      <c r="H946" t="s">
        <v>17</v>
      </c>
    </row>
    <row r="947" spans="1:8" ht="15" customHeight="1" x14ac:dyDescent="0.3">
      <c r="A947" s="9" t="s">
        <v>3333</v>
      </c>
      <c r="B947" s="9">
        <v>0</v>
      </c>
      <c r="C947" s="9" t="s">
        <v>3783</v>
      </c>
      <c r="D947" s="9" t="s">
        <v>3570</v>
      </c>
      <c r="E947" s="9" t="s">
        <v>4142</v>
      </c>
      <c r="F947" s="11" t="s">
        <v>4143</v>
      </c>
      <c r="G947" s="9" t="s">
        <v>4144</v>
      </c>
      <c r="H947" t="s">
        <v>17</v>
      </c>
    </row>
    <row r="948" spans="1:8" ht="15" customHeight="1" x14ac:dyDescent="0.3">
      <c r="A948" s="9" t="s">
        <v>3333</v>
      </c>
      <c r="B948" s="9">
        <v>0</v>
      </c>
      <c r="C948" s="9" t="s">
        <v>3784</v>
      </c>
      <c r="D948" s="9" t="s">
        <v>3571</v>
      </c>
      <c r="E948" s="9" t="s">
        <v>4142</v>
      </c>
      <c r="F948" s="11" t="s">
        <v>4143</v>
      </c>
      <c r="G948" s="9" t="s">
        <v>4144</v>
      </c>
      <c r="H948" t="s">
        <v>17</v>
      </c>
    </row>
    <row r="949" spans="1:8" ht="15" customHeight="1" x14ac:dyDescent="0.3">
      <c r="A949" s="9" t="s">
        <v>3333</v>
      </c>
      <c r="B949" s="9">
        <v>0</v>
      </c>
      <c r="C949" s="9" t="s">
        <v>3785</v>
      </c>
      <c r="D949" s="9" t="s">
        <v>3572</v>
      </c>
      <c r="E949" s="9" t="s">
        <v>4142</v>
      </c>
      <c r="F949" s="11" t="s">
        <v>4143</v>
      </c>
      <c r="G949" s="9" t="s">
        <v>4144</v>
      </c>
      <c r="H949" t="s">
        <v>17</v>
      </c>
    </row>
    <row r="950" spans="1:8" ht="15" customHeight="1" x14ac:dyDescent="0.3">
      <c r="A950" s="9" t="s">
        <v>3333</v>
      </c>
      <c r="B950" s="9">
        <v>0</v>
      </c>
      <c r="C950" s="9" t="s">
        <v>3786</v>
      </c>
      <c r="D950" s="9" t="s">
        <v>3573</v>
      </c>
      <c r="E950" s="9" t="s">
        <v>4142</v>
      </c>
      <c r="F950" s="11" t="s">
        <v>4143</v>
      </c>
      <c r="G950" s="9" t="s">
        <v>4144</v>
      </c>
      <c r="H950" t="s">
        <v>17</v>
      </c>
    </row>
    <row r="951" spans="1:8" ht="15" customHeight="1" x14ac:dyDescent="0.3">
      <c r="A951" s="9" t="s">
        <v>3333</v>
      </c>
      <c r="B951" s="9">
        <v>0</v>
      </c>
      <c r="C951" s="9" t="s">
        <v>3787</v>
      </c>
      <c r="D951" s="9" t="s">
        <v>3574</v>
      </c>
      <c r="E951" s="9" t="s">
        <v>4142</v>
      </c>
      <c r="F951" s="11" t="s">
        <v>4143</v>
      </c>
      <c r="G951" s="9" t="s">
        <v>4144</v>
      </c>
      <c r="H951" t="s">
        <v>17</v>
      </c>
    </row>
    <row r="952" spans="1:8" ht="15" customHeight="1" x14ac:dyDescent="0.3">
      <c r="A952" s="9" t="s">
        <v>3333</v>
      </c>
      <c r="B952" s="9">
        <v>0</v>
      </c>
      <c r="C952" s="9" t="s">
        <v>3788</v>
      </c>
      <c r="D952" s="9" t="s">
        <v>3575</v>
      </c>
      <c r="E952" s="9" t="s">
        <v>4142</v>
      </c>
      <c r="F952" s="11" t="s">
        <v>4143</v>
      </c>
      <c r="G952" s="9" t="s">
        <v>4144</v>
      </c>
      <c r="H952" t="s">
        <v>17</v>
      </c>
    </row>
    <row r="953" spans="1:8" ht="15" customHeight="1" x14ac:dyDescent="0.3">
      <c r="A953" s="9" t="s">
        <v>3333</v>
      </c>
      <c r="B953" s="9">
        <v>0</v>
      </c>
      <c r="C953" s="9" t="s">
        <v>3789</v>
      </c>
      <c r="D953" s="9" t="s">
        <v>3576</v>
      </c>
      <c r="E953" s="9" t="s">
        <v>4142</v>
      </c>
      <c r="F953" s="11" t="s">
        <v>4143</v>
      </c>
      <c r="G953" s="9" t="s">
        <v>4144</v>
      </c>
      <c r="H953" t="s">
        <v>17</v>
      </c>
    </row>
    <row r="954" spans="1:8" ht="15" customHeight="1" x14ac:dyDescent="0.3">
      <c r="A954" s="9" t="s">
        <v>3333</v>
      </c>
      <c r="B954" s="9">
        <v>0</v>
      </c>
      <c r="C954" s="9" t="s">
        <v>3790</v>
      </c>
      <c r="D954" s="9" t="s">
        <v>3577</v>
      </c>
      <c r="E954" s="9" t="s">
        <v>4142</v>
      </c>
      <c r="F954" s="11" t="s">
        <v>4143</v>
      </c>
      <c r="G954" s="9" t="s">
        <v>4144</v>
      </c>
      <c r="H954" t="s">
        <v>17</v>
      </c>
    </row>
    <row r="955" spans="1:8" ht="15" customHeight="1" x14ac:dyDescent="0.3">
      <c r="A955" s="9" t="s">
        <v>3333</v>
      </c>
      <c r="B955" s="9">
        <v>0</v>
      </c>
      <c r="C955" s="9" t="s">
        <v>3791</v>
      </c>
      <c r="D955" s="9" t="s">
        <v>3578</v>
      </c>
      <c r="E955" s="9" t="s">
        <v>4142</v>
      </c>
      <c r="F955" s="11" t="s">
        <v>4143</v>
      </c>
      <c r="G955" s="9" t="s">
        <v>4144</v>
      </c>
      <c r="H955" t="s">
        <v>17</v>
      </c>
    </row>
    <row r="956" spans="1:8" ht="15" customHeight="1" x14ac:dyDescent="0.3">
      <c r="A956" s="9" t="s">
        <v>3333</v>
      </c>
      <c r="B956" s="9">
        <v>0</v>
      </c>
      <c r="C956" s="9" t="s">
        <v>3792</v>
      </c>
      <c r="D956" s="9" t="s">
        <v>3579</v>
      </c>
      <c r="E956" s="9" t="s">
        <v>4142</v>
      </c>
      <c r="F956" s="11" t="s">
        <v>4143</v>
      </c>
      <c r="G956" s="9" t="s">
        <v>4144</v>
      </c>
      <c r="H956" t="s">
        <v>17</v>
      </c>
    </row>
    <row r="957" spans="1:8" ht="15" customHeight="1" x14ac:dyDescent="0.3">
      <c r="A957" s="9" t="s">
        <v>3333</v>
      </c>
      <c r="B957" s="9">
        <v>0</v>
      </c>
      <c r="C957" s="9" t="s">
        <v>3793</v>
      </c>
      <c r="D957" s="9" t="s">
        <v>3580</v>
      </c>
      <c r="E957" s="9" t="s">
        <v>4142</v>
      </c>
      <c r="F957" s="11" t="s">
        <v>4143</v>
      </c>
      <c r="G957" s="9" t="s">
        <v>4144</v>
      </c>
      <c r="H957" s="9"/>
    </row>
    <row r="958" spans="1:8" ht="15" customHeight="1" x14ac:dyDescent="0.3">
      <c r="A958" s="9" t="s">
        <v>3333</v>
      </c>
      <c r="B958" s="9">
        <v>0</v>
      </c>
      <c r="C958" s="9" t="s">
        <v>3794</v>
      </c>
      <c r="D958" s="9" t="s">
        <v>3581</v>
      </c>
      <c r="E958" s="9" t="s">
        <v>4142</v>
      </c>
      <c r="F958" s="11" t="s">
        <v>4143</v>
      </c>
      <c r="G958" s="9" t="s">
        <v>4144</v>
      </c>
      <c r="H958" s="9"/>
    </row>
    <row r="959" spans="1:8" ht="15" customHeight="1" x14ac:dyDescent="0.3">
      <c r="A959" s="9" t="s">
        <v>3333</v>
      </c>
      <c r="B959" s="9">
        <v>0</v>
      </c>
      <c r="C959" s="9" t="s">
        <v>3795</v>
      </c>
      <c r="D959" s="9" t="s">
        <v>3582</v>
      </c>
      <c r="E959" s="9" t="s">
        <v>4142</v>
      </c>
      <c r="F959" s="11" t="s">
        <v>4143</v>
      </c>
      <c r="G959" s="9" t="s">
        <v>4144</v>
      </c>
      <c r="H959" s="9"/>
    </row>
    <row r="960" spans="1:8" ht="15" customHeight="1" x14ac:dyDescent="0.3">
      <c r="A960" s="9" t="s">
        <v>3333</v>
      </c>
      <c r="B960" s="9">
        <v>0</v>
      </c>
      <c r="C960" s="9" t="s">
        <v>3796</v>
      </c>
      <c r="D960" s="9" t="s">
        <v>3583</v>
      </c>
      <c r="E960" s="9" t="s">
        <v>4142</v>
      </c>
      <c r="F960" s="11" t="s">
        <v>4143</v>
      </c>
      <c r="G960" s="9" t="s">
        <v>4144</v>
      </c>
      <c r="H960" s="9"/>
    </row>
    <row r="961" spans="1:8" ht="15" customHeight="1" x14ac:dyDescent="0.3">
      <c r="A961" s="9" t="s">
        <v>3333</v>
      </c>
      <c r="B961" s="9">
        <v>0</v>
      </c>
      <c r="C961" s="9" t="s">
        <v>3797</v>
      </c>
      <c r="D961" s="9" t="s">
        <v>3584</v>
      </c>
      <c r="E961" s="9" t="s">
        <v>4142</v>
      </c>
      <c r="F961" s="11" t="s">
        <v>4143</v>
      </c>
      <c r="G961" s="9" t="s">
        <v>4144</v>
      </c>
      <c r="H961" s="9"/>
    </row>
    <row r="962" spans="1:8" ht="15" customHeight="1" x14ac:dyDescent="0.3">
      <c r="A962" s="9" t="s">
        <v>3333</v>
      </c>
      <c r="B962" s="9">
        <v>0</v>
      </c>
      <c r="C962" s="9" t="s">
        <v>3798</v>
      </c>
      <c r="D962" s="9" t="s">
        <v>3585</v>
      </c>
      <c r="E962" s="9" t="s">
        <v>4142</v>
      </c>
      <c r="F962" s="11" t="s">
        <v>4143</v>
      </c>
      <c r="G962" s="9" t="s">
        <v>4144</v>
      </c>
      <c r="H962" s="9"/>
    </row>
    <row r="963" spans="1:8" ht="15" customHeight="1" x14ac:dyDescent="0.3">
      <c r="A963" s="9" t="s">
        <v>3333</v>
      </c>
      <c r="B963" s="9">
        <v>0</v>
      </c>
      <c r="C963" s="9" t="s">
        <v>3799</v>
      </c>
      <c r="D963" s="9" t="s">
        <v>3586</v>
      </c>
      <c r="E963" s="9" t="s">
        <v>4142</v>
      </c>
      <c r="F963" s="11" t="s">
        <v>4143</v>
      </c>
      <c r="G963" s="9" t="s">
        <v>4144</v>
      </c>
      <c r="H963" s="9"/>
    </row>
    <row r="964" spans="1:8" ht="15" customHeight="1" x14ac:dyDescent="0.3">
      <c r="A964" s="9" t="s">
        <v>3333</v>
      </c>
      <c r="B964" s="9">
        <v>0</v>
      </c>
      <c r="C964" s="9" t="s">
        <v>3800</v>
      </c>
      <c r="D964" s="9" t="s">
        <v>3587</v>
      </c>
      <c r="E964" s="9" t="s">
        <v>4142</v>
      </c>
      <c r="F964" s="11" t="s">
        <v>4143</v>
      </c>
      <c r="G964" s="9" t="s">
        <v>4144</v>
      </c>
      <c r="H964" s="9"/>
    </row>
    <row r="965" spans="1:8" ht="15" customHeight="1" x14ac:dyDescent="0.3">
      <c r="A965" s="9" t="s">
        <v>3333</v>
      </c>
      <c r="B965" s="9">
        <v>0</v>
      </c>
      <c r="C965" s="9" t="s">
        <v>3801</v>
      </c>
      <c r="D965" s="9" t="s">
        <v>3588</v>
      </c>
      <c r="E965" s="9" t="s">
        <v>4142</v>
      </c>
      <c r="F965" s="11" t="s">
        <v>4143</v>
      </c>
      <c r="G965" s="9" t="s">
        <v>4144</v>
      </c>
      <c r="H965" s="9"/>
    </row>
    <row r="966" spans="1:8" ht="15" customHeight="1" x14ac:dyDescent="0.3">
      <c r="A966" s="9" t="s">
        <v>3333</v>
      </c>
      <c r="B966" s="9">
        <v>0</v>
      </c>
      <c r="C966" s="9" t="s">
        <v>3802</v>
      </c>
      <c r="D966" s="9" t="s">
        <v>3589</v>
      </c>
      <c r="E966" s="9" t="s">
        <v>4142</v>
      </c>
      <c r="F966" s="11" t="s">
        <v>4143</v>
      </c>
      <c r="G966" s="9" t="s">
        <v>4144</v>
      </c>
      <c r="H966" s="9"/>
    </row>
    <row r="967" spans="1:8" ht="15" customHeight="1" x14ac:dyDescent="0.3">
      <c r="A967" s="9" t="s">
        <v>3333</v>
      </c>
      <c r="B967" s="9">
        <v>0</v>
      </c>
      <c r="C967" s="9" t="s">
        <v>3803</v>
      </c>
      <c r="D967" s="9" t="s">
        <v>3590</v>
      </c>
      <c r="E967" s="9" t="s">
        <v>4142</v>
      </c>
      <c r="F967" s="11" t="s">
        <v>4143</v>
      </c>
      <c r="G967" s="9" t="s">
        <v>4144</v>
      </c>
      <c r="H967" s="9"/>
    </row>
    <row r="968" spans="1:8" ht="15" customHeight="1" x14ac:dyDescent="0.3">
      <c r="A968" s="9" t="s">
        <v>3333</v>
      </c>
      <c r="B968" s="9">
        <v>0</v>
      </c>
      <c r="C968" s="9" t="s">
        <v>3804</v>
      </c>
      <c r="D968" s="9" t="s">
        <v>3591</v>
      </c>
      <c r="E968" s="9" t="s">
        <v>4142</v>
      </c>
      <c r="F968" s="11" t="s">
        <v>4143</v>
      </c>
      <c r="G968" s="9" t="s">
        <v>4144</v>
      </c>
      <c r="H968" s="9"/>
    </row>
    <row r="969" spans="1:8" ht="15" customHeight="1" x14ac:dyDescent="0.3">
      <c r="A969" s="9" t="s">
        <v>3333</v>
      </c>
      <c r="B969" s="9">
        <v>0</v>
      </c>
      <c r="C969" s="9" t="s">
        <v>3805</v>
      </c>
      <c r="D969" s="9" t="s">
        <v>3592</v>
      </c>
      <c r="E969" s="9" t="s">
        <v>4142</v>
      </c>
      <c r="F969" s="11" t="s">
        <v>4143</v>
      </c>
      <c r="G969" s="9" t="s">
        <v>4144</v>
      </c>
      <c r="H969" s="9"/>
    </row>
    <row r="970" spans="1:8" ht="15" customHeight="1" x14ac:dyDescent="0.3">
      <c r="A970" s="9" t="s">
        <v>3333</v>
      </c>
      <c r="B970" s="9">
        <v>0</v>
      </c>
      <c r="C970" s="9" t="s">
        <v>3806</v>
      </c>
      <c r="D970" s="9" t="s">
        <v>3593</v>
      </c>
      <c r="E970" s="9" t="s">
        <v>4142</v>
      </c>
      <c r="F970" s="11" t="s">
        <v>4143</v>
      </c>
      <c r="G970" s="9" t="s">
        <v>4144</v>
      </c>
      <c r="H970" s="9"/>
    </row>
    <row r="971" spans="1:8" ht="15" customHeight="1" x14ac:dyDescent="0.3">
      <c r="A971" s="9" t="s">
        <v>3333</v>
      </c>
      <c r="B971" s="9">
        <v>0</v>
      </c>
      <c r="C971" s="9" t="s">
        <v>3807</v>
      </c>
      <c r="D971" s="9" t="s">
        <v>3594</v>
      </c>
      <c r="E971" s="9" t="s">
        <v>4142</v>
      </c>
      <c r="F971" s="11" t="s">
        <v>4143</v>
      </c>
      <c r="G971" s="9" t="s">
        <v>4144</v>
      </c>
      <c r="H971" s="9"/>
    </row>
    <row r="972" spans="1:8" ht="15" customHeight="1" x14ac:dyDescent="0.3">
      <c r="A972" s="9" t="s">
        <v>3333</v>
      </c>
      <c r="B972" s="9">
        <v>0</v>
      </c>
      <c r="C972" s="9" t="s">
        <v>3808</v>
      </c>
      <c r="D972" s="9" t="s">
        <v>3595</v>
      </c>
      <c r="E972" s="9" t="s">
        <v>4142</v>
      </c>
      <c r="F972" s="11" t="s">
        <v>4143</v>
      </c>
      <c r="G972" s="9" t="s">
        <v>4144</v>
      </c>
      <c r="H972" s="9"/>
    </row>
    <row r="973" spans="1:8" ht="15" customHeight="1" x14ac:dyDescent="0.3">
      <c r="A973" s="9" t="s">
        <v>3333</v>
      </c>
      <c r="B973" s="9">
        <v>0</v>
      </c>
      <c r="C973" s="9" t="s">
        <v>3809</v>
      </c>
      <c r="D973" s="9" t="s">
        <v>3596</v>
      </c>
      <c r="E973" s="9" t="s">
        <v>4142</v>
      </c>
      <c r="F973" s="11" t="s">
        <v>4143</v>
      </c>
      <c r="G973" s="9" t="s">
        <v>4144</v>
      </c>
      <c r="H973" s="9"/>
    </row>
    <row r="974" spans="1:8" ht="15" customHeight="1" x14ac:dyDescent="0.3">
      <c r="A974" s="9" t="s">
        <v>3333</v>
      </c>
      <c r="B974" s="9">
        <v>0</v>
      </c>
      <c r="C974" s="9" t="s">
        <v>3810</v>
      </c>
      <c r="D974" s="9" t="s">
        <v>3597</v>
      </c>
      <c r="E974" s="9" t="s">
        <v>4142</v>
      </c>
      <c r="F974" s="11" t="s">
        <v>4143</v>
      </c>
      <c r="G974" s="9" t="s">
        <v>4144</v>
      </c>
      <c r="H974" s="9"/>
    </row>
    <row r="975" spans="1:8" ht="15" customHeight="1" x14ac:dyDescent="0.3">
      <c r="A975" s="9" t="s">
        <v>3333</v>
      </c>
      <c r="B975" s="9">
        <v>0</v>
      </c>
      <c r="C975" s="9" t="s">
        <v>3811</v>
      </c>
      <c r="D975" s="9" t="s">
        <v>3598</v>
      </c>
      <c r="E975" s="9" t="s">
        <v>4142</v>
      </c>
      <c r="F975" s="11" t="s">
        <v>4143</v>
      </c>
      <c r="G975" s="9" t="s">
        <v>4144</v>
      </c>
      <c r="H975" s="9"/>
    </row>
    <row r="976" spans="1:8" ht="15" customHeight="1" x14ac:dyDescent="0.3">
      <c r="A976" s="9" t="s">
        <v>3333</v>
      </c>
      <c r="B976" s="9">
        <v>0</v>
      </c>
      <c r="C976" s="9" t="s">
        <v>3812</v>
      </c>
      <c r="D976" s="9" t="s">
        <v>3599</v>
      </c>
      <c r="E976" s="9" t="s">
        <v>4142</v>
      </c>
      <c r="F976" s="11" t="s">
        <v>4143</v>
      </c>
      <c r="G976" s="9" t="s">
        <v>4144</v>
      </c>
      <c r="H976" s="9"/>
    </row>
    <row r="977" spans="1:8" ht="15" customHeight="1" x14ac:dyDescent="0.3">
      <c r="A977" s="9" t="s">
        <v>3333</v>
      </c>
      <c r="B977" s="9">
        <v>0</v>
      </c>
      <c r="C977" s="9" t="s">
        <v>3813</v>
      </c>
      <c r="D977" s="9" t="s">
        <v>3600</v>
      </c>
      <c r="E977" s="9" t="s">
        <v>4142</v>
      </c>
      <c r="F977" s="11" t="s">
        <v>4143</v>
      </c>
      <c r="G977" s="9" t="s">
        <v>4144</v>
      </c>
      <c r="H977" s="9"/>
    </row>
    <row r="978" spans="1:8" ht="15" customHeight="1" x14ac:dyDescent="0.3">
      <c r="A978" s="9" t="s">
        <v>3333</v>
      </c>
      <c r="B978" s="9">
        <v>0</v>
      </c>
      <c r="C978" s="9" t="s">
        <v>3814</v>
      </c>
      <c r="D978" s="9" t="s">
        <v>3601</v>
      </c>
      <c r="E978" s="9" t="s">
        <v>4142</v>
      </c>
      <c r="F978" s="11" t="s">
        <v>4143</v>
      </c>
      <c r="G978" s="9" t="s">
        <v>4144</v>
      </c>
      <c r="H978" s="9"/>
    </row>
    <row r="979" spans="1:8" ht="15" customHeight="1" x14ac:dyDescent="0.3">
      <c r="A979" s="9" t="s">
        <v>3333</v>
      </c>
      <c r="B979" s="9">
        <v>0</v>
      </c>
      <c r="C979" s="9" t="s">
        <v>3815</v>
      </c>
      <c r="D979" s="9" t="s">
        <v>3602</v>
      </c>
      <c r="E979" s="9" t="s">
        <v>4142</v>
      </c>
      <c r="F979" s="11" t="s">
        <v>4143</v>
      </c>
      <c r="G979" s="9" t="s">
        <v>4144</v>
      </c>
      <c r="H979" s="9"/>
    </row>
    <row r="980" spans="1:8" ht="15" customHeight="1" x14ac:dyDescent="0.3">
      <c r="A980" s="9" t="s">
        <v>3333</v>
      </c>
      <c r="B980" s="9">
        <v>0</v>
      </c>
      <c r="C980" s="9" t="s">
        <v>3816</v>
      </c>
      <c r="D980" s="9" t="s">
        <v>3603</v>
      </c>
      <c r="E980" s="9" t="s">
        <v>4142</v>
      </c>
      <c r="F980" s="11" t="s">
        <v>4143</v>
      </c>
      <c r="G980" s="9" t="s">
        <v>4144</v>
      </c>
      <c r="H980" s="9"/>
    </row>
    <row r="981" spans="1:8" ht="15" customHeight="1" x14ac:dyDescent="0.3">
      <c r="A981" s="9" t="s">
        <v>3333</v>
      </c>
      <c r="B981" s="9">
        <v>0</v>
      </c>
      <c r="C981" s="9" t="s">
        <v>3817</v>
      </c>
      <c r="D981" s="9" t="s">
        <v>3604</v>
      </c>
      <c r="E981" s="9" t="s">
        <v>4142</v>
      </c>
      <c r="F981" s="11" t="s">
        <v>4143</v>
      </c>
      <c r="G981" s="9" t="s">
        <v>4144</v>
      </c>
      <c r="H981" s="9"/>
    </row>
    <row r="982" spans="1:8" ht="15" customHeight="1" x14ac:dyDescent="0.3">
      <c r="A982" s="9" t="s">
        <v>3333</v>
      </c>
      <c r="B982" s="9">
        <v>0</v>
      </c>
      <c r="C982" s="9" t="s">
        <v>3818</v>
      </c>
      <c r="D982" s="9" t="s">
        <v>3605</v>
      </c>
      <c r="E982" s="9" t="s">
        <v>4142</v>
      </c>
      <c r="F982" s="11" t="s">
        <v>4143</v>
      </c>
      <c r="G982" s="9" t="s">
        <v>4144</v>
      </c>
      <c r="H982" s="9"/>
    </row>
    <row r="983" spans="1:8" ht="15" customHeight="1" x14ac:dyDescent="0.3">
      <c r="A983" s="9" t="s">
        <v>3333</v>
      </c>
      <c r="B983" s="9">
        <v>0</v>
      </c>
      <c r="C983" s="9" t="s">
        <v>3819</v>
      </c>
      <c r="D983" s="9" t="s">
        <v>3606</v>
      </c>
      <c r="E983" s="9" t="s">
        <v>4142</v>
      </c>
      <c r="F983" s="11" t="s">
        <v>4143</v>
      </c>
      <c r="G983" s="9" t="s">
        <v>4144</v>
      </c>
      <c r="H983" s="9"/>
    </row>
    <row r="984" spans="1:8" ht="15" customHeight="1" x14ac:dyDescent="0.3">
      <c r="A984" s="9" t="s">
        <v>3333</v>
      </c>
      <c r="B984" s="9">
        <v>0</v>
      </c>
      <c r="C984" s="9" t="s">
        <v>3820</v>
      </c>
      <c r="D984" s="9" t="s">
        <v>3607</v>
      </c>
      <c r="E984" s="9" t="s">
        <v>4142</v>
      </c>
      <c r="F984" s="11" t="s">
        <v>4143</v>
      </c>
      <c r="G984" s="9" t="s">
        <v>4144</v>
      </c>
      <c r="H984" s="9"/>
    </row>
    <row r="985" spans="1:8" ht="15" customHeight="1" x14ac:dyDescent="0.3">
      <c r="A985" s="9" t="s">
        <v>3333</v>
      </c>
      <c r="B985" s="9">
        <v>0</v>
      </c>
      <c r="C985" s="9" t="s">
        <v>3821</v>
      </c>
      <c r="D985" s="9" t="s">
        <v>3608</v>
      </c>
      <c r="E985" s="9" t="s">
        <v>4142</v>
      </c>
      <c r="F985" s="11" t="s">
        <v>4143</v>
      </c>
      <c r="G985" s="9" t="s">
        <v>4144</v>
      </c>
      <c r="H985" s="9"/>
    </row>
    <row r="986" spans="1:8" ht="15" customHeight="1" x14ac:dyDescent="0.3">
      <c r="A986" s="9" t="s">
        <v>3333</v>
      </c>
      <c r="B986" s="9">
        <v>0</v>
      </c>
      <c r="C986" s="9" t="s">
        <v>3822</v>
      </c>
      <c r="D986" s="9" t="s">
        <v>3609</v>
      </c>
      <c r="E986" s="9" t="s">
        <v>4142</v>
      </c>
      <c r="F986" s="11" t="s">
        <v>4143</v>
      </c>
      <c r="G986" s="9" t="s">
        <v>4144</v>
      </c>
      <c r="H986" s="9"/>
    </row>
    <row r="987" spans="1:8" ht="15" customHeight="1" x14ac:dyDescent="0.3">
      <c r="A987" s="9" t="s">
        <v>3333</v>
      </c>
      <c r="B987" s="9">
        <v>0</v>
      </c>
      <c r="C987" s="9" t="s">
        <v>3823</v>
      </c>
      <c r="D987" s="9" t="s">
        <v>3610</v>
      </c>
      <c r="E987" s="9" t="s">
        <v>4142</v>
      </c>
      <c r="F987" s="11" t="s">
        <v>4143</v>
      </c>
      <c r="G987" s="9" t="s">
        <v>4144</v>
      </c>
      <c r="H987" s="9"/>
    </row>
    <row r="988" spans="1:8" ht="15" customHeight="1" x14ac:dyDescent="0.3">
      <c r="A988" s="9" t="s">
        <v>3333</v>
      </c>
      <c r="B988" s="9">
        <v>0</v>
      </c>
      <c r="C988" s="9" t="s">
        <v>3824</v>
      </c>
      <c r="D988" s="9" t="s">
        <v>3611</v>
      </c>
      <c r="E988" s="9" t="s">
        <v>4142</v>
      </c>
      <c r="F988" s="11" t="s">
        <v>4143</v>
      </c>
      <c r="G988" s="9" t="s">
        <v>4144</v>
      </c>
      <c r="H988" s="9"/>
    </row>
    <row r="989" spans="1:8" ht="15" customHeight="1" x14ac:dyDescent="0.3">
      <c r="A989" s="9" t="s">
        <v>3333</v>
      </c>
      <c r="B989" s="9">
        <v>0</v>
      </c>
      <c r="C989" s="9" t="s">
        <v>3825</v>
      </c>
      <c r="D989" s="9" t="s">
        <v>3612</v>
      </c>
      <c r="E989" s="9" t="s">
        <v>4142</v>
      </c>
      <c r="F989" s="11" t="s">
        <v>4143</v>
      </c>
      <c r="G989" s="9" t="s">
        <v>4144</v>
      </c>
      <c r="H989" s="9"/>
    </row>
    <row r="990" spans="1:8" ht="15" customHeight="1" x14ac:dyDescent="0.3">
      <c r="A990" s="9" t="s">
        <v>3333</v>
      </c>
      <c r="B990" s="9">
        <v>0</v>
      </c>
      <c r="C990" s="9" t="s">
        <v>3826</v>
      </c>
      <c r="D990" s="9" t="s">
        <v>3613</v>
      </c>
      <c r="E990" s="9" t="s">
        <v>4142</v>
      </c>
      <c r="F990" s="11" t="s">
        <v>4143</v>
      </c>
      <c r="G990" s="9" t="s">
        <v>4144</v>
      </c>
      <c r="H990" s="9"/>
    </row>
    <row r="991" spans="1:8" ht="15" customHeight="1" x14ac:dyDescent="0.3">
      <c r="A991" s="9" t="s">
        <v>3333</v>
      </c>
      <c r="B991" s="9">
        <v>0</v>
      </c>
      <c r="C991" s="9" t="s">
        <v>3827</v>
      </c>
      <c r="D991" s="9" t="s">
        <v>3614</v>
      </c>
      <c r="E991" s="9" t="s">
        <v>4142</v>
      </c>
      <c r="F991" s="11" t="s">
        <v>4143</v>
      </c>
      <c r="G991" s="9" t="s">
        <v>4144</v>
      </c>
      <c r="H991" s="9"/>
    </row>
    <row r="992" spans="1:8" ht="15" customHeight="1" x14ac:dyDescent="0.3">
      <c r="A992" s="9" t="s">
        <v>3333</v>
      </c>
      <c r="B992" s="9">
        <v>0</v>
      </c>
      <c r="C992" s="9" t="s">
        <v>3828</v>
      </c>
      <c r="D992" s="9" t="s">
        <v>3615</v>
      </c>
      <c r="E992" s="9" t="s">
        <v>4142</v>
      </c>
      <c r="F992" s="11" t="s">
        <v>4143</v>
      </c>
      <c r="G992" s="9" t="s">
        <v>4144</v>
      </c>
      <c r="H992" s="9"/>
    </row>
    <row r="993" spans="1:8" ht="15" customHeight="1" x14ac:dyDescent="0.3">
      <c r="A993" s="9" t="s">
        <v>3333</v>
      </c>
      <c r="B993" s="9">
        <v>0</v>
      </c>
      <c r="C993" s="9" t="s">
        <v>3829</v>
      </c>
      <c r="D993" s="9" t="s">
        <v>3616</v>
      </c>
      <c r="E993" s="9" t="s">
        <v>4142</v>
      </c>
      <c r="F993" s="11" t="s">
        <v>4143</v>
      </c>
      <c r="G993" s="9" t="s">
        <v>4144</v>
      </c>
      <c r="H993" s="9"/>
    </row>
    <row r="994" spans="1:8" ht="15" customHeight="1" x14ac:dyDescent="0.3">
      <c r="A994" s="9" t="s">
        <v>3333</v>
      </c>
      <c r="B994" s="9">
        <v>0</v>
      </c>
      <c r="C994" s="9" t="s">
        <v>3830</v>
      </c>
      <c r="D994" s="9" t="s">
        <v>3617</v>
      </c>
      <c r="E994" s="9" t="s">
        <v>4142</v>
      </c>
      <c r="F994" s="11" t="s">
        <v>4143</v>
      </c>
      <c r="G994" s="9" t="s">
        <v>4144</v>
      </c>
      <c r="H994" s="9"/>
    </row>
    <row r="995" spans="1:8" ht="15" customHeight="1" x14ac:dyDescent="0.3">
      <c r="A995" s="9" t="s">
        <v>3333</v>
      </c>
      <c r="B995" s="9">
        <v>0</v>
      </c>
      <c r="C995" s="9" t="s">
        <v>3831</v>
      </c>
      <c r="D995" s="9" t="s">
        <v>3618</v>
      </c>
      <c r="E995" s="9" t="s">
        <v>4142</v>
      </c>
      <c r="F995" s="11" t="s">
        <v>4143</v>
      </c>
      <c r="G995" s="9" t="s">
        <v>4144</v>
      </c>
      <c r="H995" s="9"/>
    </row>
    <row r="996" spans="1:8" ht="15" customHeight="1" x14ac:dyDescent="0.3">
      <c r="A996" s="9" t="s">
        <v>3333</v>
      </c>
      <c r="B996" s="9">
        <v>0</v>
      </c>
      <c r="C996" s="9" t="s">
        <v>3832</v>
      </c>
      <c r="D996" s="9" t="s">
        <v>3619</v>
      </c>
      <c r="E996" s="9" t="s">
        <v>4142</v>
      </c>
      <c r="F996" s="11" t="s">
        <v>4143</v>
      </c>
      <c r="G996" s="9" t="s">
        <v>4144</v>
      </c>
      <c r="H996" s="9"/>
    </row>
    <row r="997" spans="1:8" ht="15" customHeight="1" x14ac:dyDescent="0.3">
      <c r="A997" s="9" t="s">
        <v>3333</v>
      </c>
      <c r="B997" s="9">
        <v>0</v>
      </c>
      <c r="C997" s="9" t="s">
        <v>3833</v>
      </c>
      <c r="D997" s="9" t="s">
        <v>3620</v>
      </c>
      <c r="E997" s="9" t="s">
        <v>4142</v>
      </c>
      <c r="F997" s="11" t="s">
        <v>4143</v>
      </c>
      <c r="G997" s="9" t="s">
        <v>4144</v>
      </c>
      <c r="H997" s="9"/>
    </row>
    <row r="998" spans="1:8" ht="15" customHeight="1" x14ac:dyDescent="0.3">
      <c r="A998" s="9" t="s">
        <v>3333</v>
      </c>
      <c r="B998" s="9">
        <v>0</v>
      </c>
      <c r="C998" s="9" t="s">
        <v>3834</v>
      </c>
      <c r="D998" s="9" t="s">
        <v>3621</v>
      </c>
      <c r="E998" s="9" t="s">
        <v>4142</v>
      </c>
      <c r="F998" s="11" t="s">
        <v>4143</v>
      </c>
      <c r="G998" s="9" t="s">
        <v>4144</v>
      </c>
      <c r="H998" s="9"/>
    </row>
    <row r="999" spans="1:8" ht="15" customHeight="1" x14ac:dyDescent="0.3">
      <c r="A999" s="9" t="s">
        <v>3333</v>
      </c>
      <c r="B999" s="9">
        <v>0</v>
      </c>
      <c r="C999" s="9" t="s">
        <v>3835</v>
      </c>
      <c r="D999" s="9" t="s">
        <v>3622</v>
      </c>
      <c r="E999" s="9" t="s">
        <v>4142</v>
      </c>
      <c r="F999" s="11" t="s">
        <v>4143</v>
      </c>
      <c r="G999" s="9" t="s">
        <v>4144</v>
      </c>
      <c r="H999" s="9"/>
    </row>
    <row r="1000" spans="1:8" ht="15" customHeight="1" x14ac:dyDescent="0.3">
      <c r="A1000" s="9" t="s">
        <v>3333</v>
      </c>
      <c r="B1000" s="9">
        <v>0</v>
      </c>
      <c r="C1000" s="9" t="s">
        <v>3836</v>
      </c>
      <c r="D1000" s="9" t="s">
        <v>3623</v>
      </c>
      <c r="E1000" s="9" t="s">
        <v>4142</v>
      </c>
      <c r="F1000" s="11" t="s">
        <v>4143</v>
      </c>
      <c r="G1000" s="9" t="s">
        <v>4144</v>
      </c>
      <c r="H1000" s="9"/>
    </row>
    <row r="1001" spans="1:8" ht="15" customHeight="1" x14ac:dyDescent="0.3">
      <c r="A1001" s="9" t="s">
        <v>3333</v>
      </c>
      <c r="B1001" s="9">
        <v>0</v>
      </c>
      <c r="C1001" s="9" t="s">
        <v>3837</v>
      </c>
      <c r="D1001" s="9" t="s">
        <v>3624</v>
      </c>
      <c r="E1001" s="9" t="s">
        <v>4142</v>
      </c>
      <c r="F1001" s="11" t="s">
        <v>4143</v>
      </c>
      <c r="G1001" s="9" t="s">
        <v>4144</v>
      </c>
      <c r="H1001" s="9"/>
    </row>
    <row r="1002" spans="1:8" ht="15" customHeight="1" x14ac:dyDescent="0.3">
      <c r="A1002" s="9" t="s">
        <v>3333</v>
      </c>
      <c r="B1002" s="9">
        <v>0</v>
      </c>
      <c r="C1002" s="9" t="s">
        <v>3838</v>
      </c>
      <c r="D1002" s="9" t="s">
        <v>3625</v>
      </c>
      <c r="E1002" s="9" t="s">
        <v>4142</v>
      </c>
      <c r="F1002" s="11" t="s">
        <v>4143</v>
      </c>
      <c r="G1002" s="9" t="s">
        <v>4144</v>
      </c>
      <c r="H1002" s="9"/>
    </row>
    <row r="1003" spans="1:8" ht="15" customHeight="1" x14ac:dyDescent="0.3">
      <c r="A1003" s="9" t="s">
        <v>3333</v>
      </c>
      <c r="B1003" s="9">
        <v>0</v>
      </c>
      <c r="C1003" s="9" t="s">
        <v>3839</v>
      </c>
      <c r="D1003" s="9" t="s">
        <v>3626</v>
      </c>
      <c r="E1003" s="9" t="s">
        <v>4142</v>
      </c>
      <c r="F1003" s="11" t="s">
        <v>4143</v>
      </c>
      <c r="G1003" s="9" t="s">
        <v>4144</v>
      </c>
      <c r="H1003" s="9"/>
    </row>
    <row r="1004" spans="1:8" ht="15" customHeight="1" x14ac:dyDescent="0.3">
      <c r="A1004" s="9" t="s">
        <v>3333</v>
      </c>
      <c r="B1004" s="9">
        <v>0</v>
      </c>
      <c r="C1004" s="9" t="s">
        <v>3840</v>
      </c>
      <c r="D1004" s="9" t="s">
        <v>3627</v>
      </c>
      <c r="E1004" s="9" t="s">
        <v>4142</v>
      </c>
      <c r="F1004" s="11" t="s">
        <v>4143</v>
      </c>
      <c r="G1004" s="9" t="s">
        <v>4144</v>
      </c>
      <c r="H1004" s="9"/>
    </row>
    <row r="1005" spans="1:8" ht="15" customHeight="1" x14ac:dyDescent="0.3">
      <c r="A1005" s="9" t="s">
        <v>3333</v>
      </c>
      <c r="B1005" s="9">
        <v>0</v>
      </c>
      <c r="C1005" s="9" t="s">
        <v>3841</v>
      </c>
      <c r="D1005" s="9" t="s">
        <v>3628</v>
      </c>
      <c r="E1005" s="9" t="s">
        <v>4142</v>
      </c>
      <c r="F1005" s="11" t="s">
        <v>4143</v>
      </c>
      <c r="G1005" s="9" t="s">
        <v>4144</v>
      </c>
      <c r="H1005" s="9"/>
    </row>
    <row r="1006" spans="1:8" ht="15" customHeight="1" x14ac:dyDescent="0.3">
      <c r="A1006" s="9" t="s">
        <v>3333</v>
      </c>
      <c r="B1006" s="9">
        <v>0</v>
      </c>
      <c r="C1006" s="9" t="s">
        <v>3842</v>
      </c>
      <c r="D1006" s="9" t="s">
        <v>3629</v>
      </c>
      <c r="E1006" s="9" t="s">
        <v>4142</v>
      </c>
      <c r="F1006" s="11" t="s">
        <v>4143</v>
      </c>
      <c r="G1006" s="9" t="s">
        <v>4144</v>
      </c>
      <c r="H1006" s="9"/>
    </row>
    <row r="1007" spans="1:8" ht="15" customHeight="1" x14ac:dyDescent="0.3">
      <c r="A1007" s="9" t="s">
        <v>3333</v>
      </c>
      <c r="B1007" s="9">
        <v>0</v>
      </c>
      <c r="C1007" s="9" t="s">
        <v>3843</v>
      </c>
      <c r="D1007" s="9" t="s">
        <v>3630</v>
      </c>
      <c r="E1007" s="9" t="s">
        <v>4142</v>
      </c>
      <c r="F1007" s="11" t="s">
        <v>4143</v>
      </c>
      <c r="G1007" s="9" t="s">
        <v>4144</v>
      </c>
      <c r="H1007" s="9"/>
    </row>
    <row r="1008" spans="1:8" ht="15" customHeight="1" x14ac:dyDescent="0.3">
      <c r="A1008" s="9" t="s">
        <v>3333</v>
      </c>
      <c r="B1008" s="9">
        <v>0</v>
      </c>
      <c r="C1008" s="9" t="s">
        <v>3844</v>
      </c>
      <c r="D1008" s="9" t="s">
        <v>3631</v>
      </c>
      <c r="E1008" s="9" t="s">
        <v>4142</v>
      </c>
      <c r="F1008" s="11" t="s">
        <v>4143</v>
      </c>
      <c r="G1008" s="9" t="s">
        <v>4144</v>
      </c>
      <c r="H1008" s="9"/>
    </row>
    <row r="1009" spans="1:8" ht="15" customHeight="1" x14ac:dyDescent="0.3">
      <c r="A1009" s="9" t="s">
        <v>3333</v>
      </c>
      <c r="B1009" s="9">
        <v>0</v>
      </c>
      <c r="C1009" s="9" t="s">
        <v>3845</v>
      </c>
      <c r="D1009" s="9" t="s">
        <v>3632</v>
      </c>
      <c r="E1009" s="9" t="s">
        <v>4142</v>
      </c>
      <c r="F1009" s="11" t="s">
        <v>4143</v>
      </c>
      <c r="G1009" s="9" t="s">
        <v>4144</v>
      </c>
      <c r="H1009" s="9"/>
    </row>
    <row r="1010" spans="1:8" ht="15" customHeight="1" x14ac:dyDescent="0.3">
      <c r="A1010" s="9" t="s">
        <v>3333</v>
      </c>
      <c r="B1010" s="9">
        <v>0</v>
      </c>
      <c r="C1010" s="9" t="s">
        <v>3846</v>
      </c>
      <c r="D1010" s="9" t="s">
        <v>3633</v>
      </c>
      <c r="E1010" s="9" t="s">
        <v>4142</v>
      </c>
      <c r="F1010" s="11" t="s">
        <v>4143</v>
      </c>
      <c r="G1010" s="9" t="s">
        <v>4144</v>
      </c>
      <c r="H1010" s="9"/>
    </row>
    <row r="1011" spans="1:8" ht="15" customHeight="1" x14ac:dyDescent="0.3">
      <c r="A1011" s="9" t="s">
        <v>3333</v>
      </c>
      <c r="B1011" s="9">
        <v>0</v>
      </c>
      <c r="C1011" s="9" t="s">
        <v>3847</v>
      </c>
      <c r="D1011" s="9" t="s">
        <v>3634</v>
      </c>
      <c r="E1011" s="9" t="s">
        <v>4142</v>
      </c>
      <c r="F1011" s="11" t="s">
        <v>4143</v>
      </c>
      <c r="G1011" s="9" t="s">
        <v>4144</v>
      </c>
      <c r="H1011" s="9"/>
    </row>
    <row r="1012" spans="1:8" ht="15" customHeight="1" x14ac:dyDescent="0.3">
      <c r="A1012" s="9" t="s">
        <v>3333</v>
      </c>
      <c r="B1012" s="9">
        <v>0</v>
      </c>
      <c r="C1012" s="9" t="s">
        <v>3848</v>
      </c>
      <c r="D1012" s="9" t="s">
        <v>3635</v>
      </c>
      <c r="E1012" s="9" t="s">
        <v>4142</v>
      </c>
      <c r="F1012" s="11" t="s">
        <v>4143</v>
      </c>
      <c r="G1012" s="9" t="s">
        <v>4144</v>
      </c>
      <c r="H1012" s="9"/>
    </row>
    <row r="1013" spans="1:8" ht="15" customHeight="1" x14ac:dyDescent="0.3">
      <c r="A1013" s="9" t="s">
        <v>3333</v>
      </c>
      <c r="B1013" s="9">
        <v>0</v>
      </c>
      <c r="C1013" s="9" t="s">
        <v>3849</v>
      </c>
      <c r="D1013" s="9" t="s">
        <v>3636</v>
      </c>
      <c r="E1013" s="9" t="s">
        <v>4142</v>
      </c>
      <c r="F1013" s="11" t="s">
        <v>4143</v>
      </c>
      <c r="G1013" s="9" t="s">
        <v>4144</v>
      </c>
      <c r="H1013" s="9"/>
    </row>
    <row r="1014" spans="1:8" ht="15" customHeight="1" x14ac:dyDescent="0.3">
      <c r="A1014" s="9" t="s">
        <v>3333</v>
      </c>
      <c r="B1014" s="9">
        <v>0</v>
      </c>
      <c r="C1014" s="9" t="s">
        <v>3850</v>
      </c>
      <c r="D1014" s="9" t="s">
        <v>3637</v>
      </c>
      <c r="E1014" s="9" t="s">
        <v>4142</v>
      </c>
      <c r="F1014" s="11" t="s">
        <v>4143</v>
      </c>
      <c r="G1014" s="9" t="s">
        <v>4144</v>
      </c>
      <c r="H1014" s="9"/>
    </row>
    <row r="1015" spans="1:8" ht="15" customHeight="1" x14ac:dyDescent="0.3">
      <c r="A1015" s="9" t="s">
        <v>3333</v>
      </c>
      <c r="B1015" s="9">
        <v>0</v>
      </c>
      <c r="C1015" s="9" t="s">
        <v>3851</v>
      </c>
      <c r="D1015" s="9" t="s">
        <v>3638</v>
      </c>
      <c r="E1015" s="9" t="s">
        <v>4142</v>
      </c>
      <c r="F1015" s="11" t="s">
        <v>4143</v>
      </c>
      <c r="G1015" s="9" t="s">
        <v>4144</v>
      </c>
      <c r="H1015" s="9"/>
    </row>
    <row r="1016" spans="1:8" ht="15" customHeight="1" x14ac:dyDescent="0.3">
      <c r="A1016" s="9" t="s">
        <v>3333</v>
      </c>
      <c r="B1016" s="9">
        <v>0</v>
      </c>
      <c r="C1016" s="9" t="s">
        <v>3852</v>
      </c>
      <c r="D1016" s="9" t="s">
        <v>3639</v>
      </c>
      <c r="E1016" s="9" t="s">
        <v>4142</v>
      </c>
      <c r="F1016" s="11" t="s">
        <v>4143</v>
      </c>
      <c r="G1016" s="9" t="s">
        <v>4144</v>
      </c>
      <c r="H1016" s="9"/>
    </row>
    <row r="1017" spans="1:8" ht="15" customHeight="1" x14ac:dyDescent="0.3">
      <c r="A1017" s="9" t="s">
        <v>3334</v>
      </c>
      <c r="B1017" s="9">
        <v>0</v>
      </c>
      <c r="C1017" s="9" t="s">
        <v>3853</v>
      </c>
      <c r="D1017" s="9" t="s">
        <v>3640</v>
      </c>
      <c r="E1017" s="9" t="s">
        <v>4142</v>
      </c>
      <c r="F1017" s="11" t="s">
        <v>4143</v>
      </c>
      <c r="G1017" s="9" t="s">
        <v>4144</v>
      </c>
      <c r="H1017" s="9"/>
    </row>
    <row r="1018" spans="1:8" ht="15" customHeight="1" x14ac:dyDescent="0.3">
      <c r="A1018" s="9" t="s">
        <v>3334</v>
      </c>
      <c r="B1018" s="9">
        <v>0</v>
      </c>
      <c r="C1018" s="9" t="s">
        <v>3854</v>
      </c>
      <c r="D1018" s="9" t="s">
        <v>3641</v>
      </c>
      <c r="E1018" s="9" t="s">
        <v>4142</v>
      </c>
      <c r="F1018" s="11" t="s">
        <v>4143</v>
      </c>
      <c r="G1018" s="9" t="s">
        <v>4144</v>
      </c>
      <c r="H1018" s="9"/>
    </row>
    <row r="1019" spans="1:8" ht="15" customHeight="1" x14ac:dyDescent="0.3">
      <c r="A1019" s="9" t="s">
        <v>3334</v>
      </c>
      <c r="B1019" s="9">
        <v>0</v>
      </c>
      <c r="C1019" s="9" t="s">
        <v>3855</v>
      </c>
      <c r="D1019" s="9" t="s">
        <v>3642</v>
      </c>
      <c r="E1019" s="9" t="s">
        <v>4142</v>
      </c>
      <c r="F1019" s="11" t="s">
        <v>4143</v>
      </c>
      <c r="G1019" s="9" t="s">
        <v>4144</v>
      </c>
      <c r="H1019" s="9"/>
    </row>
    <row r="1020" spans="1:8" ht="15" customHeight="1" x14ac:dyDescent="0.3">
      <c r="A1020" s="9" t="s">
        <v>3334</v>
      </c>
      <c r="B1020" s="9">
        <v>0</v>
      </c>
      <c r="C1020" s="9" t="s">
        <v>3856</v>
      </c>
      <c r="D1020" s="9" t="s">
        <v>3643</v>
      </c>
      <c r="E1020" s="9" t="s">
        <v>4142</v>
      </c>
      <c r="F1020" s="11" t="s">
        <v>4143</v>
      </c>
      <c r="G1020" s="9" t="s">
        <v>4144</v>
      </c>
      <c r="H1020" s="9"/>
    </row>
    <row r="1021" spans="1:8" ht="15" customHeight="1" x14ac:dyDescent="0.3">
      <c r="A1021" s="9" t="s">
        <v>3334</v>
      </c>
      <c r="B1021" s="9">
        <v>0</v>
      </c>
      <c r="C1021" s="9" t="s">
        <v>3857</v>
      </c>
      <c r="D1021" s="9" t="s">
        <v>3644</v>
      </c>
      <c r="E1021" s="9" t="s">
        <v>4142</v>
      </c>
      <c r="F1021" s="11" t="s">
        <v>4143</v>
      </c>
      <c r="G1021" s="9" t="s">
        <v>4144</v>
      </c>
      <c r="H1021" s="9"/>
    </row>
    <row r="1022" spans="1:8" ht="15" customHeight="1" x14ac:dyDescent="0.3">
      <c r="A1022" s="9" t="s">
        <v>3335</v>
      </c>
      <c r="B1022" s="9">
        <v>0</v>
      </c>
      <c r="C1022" s="9" t="s">
        <v>3858</v>
      </c>
      <c r="D1022" s="9" t="s">
        <v>3645</v>
      </c>
      <c r="E1022" s="9" t="s">
        <v>4142</v>
      </c>
      <c r="F1022" s="11" t="s">
        <v>4143</v>
      </c>
      <c r="G1022" s="9" t="s">
        <v>4144</v>
      </c>
      <c r="H1022" s="9"/>
    </row>
    <row r="1023" spans="1:8" ht="15" customHeight="1" x14ac:dyDescent="0.3">
      <c r="A1023" s="9" t="s">
        <v>3335</v>
      </c>
      <c r="B1023" s="9">
        <v>0</v>
      </c>
      <c r="C1023" s="9" t="s">
        <v>3859</v>
      </c>
      <c r="D1023" s="9" t="s">
        <v>3646</v>
      </c>
      <c r="E1023" s="9" t="s">
        <v>4142</v>
      </c>
      <c r="F1023" s="11" t="s">
        <v>4143</v>
      </c>
      <c r="G1023" s="9" t="s">
        <v>4144</v>
      </c>
      <c r="H1023" s="9"/>
    </row>
    <row r="1024" spans="1:8" ht="15" customHeight="1" x14ac:dyDescent="0.3">
      <c r="A1024" s="9" t="s">
        <v>3335</v>
      </c>
      <c r="B1024" s="9">
        <v>0</v>
      </c>
      <c r="C1024" s="9" t="s">
        <v>3860</v>
      </c>
      <c r="D1024" s="9" t="s">
        <v>3647</v>
      </c>
      <c r="E1024" s="9" t="s">
        <v>4142</v>
      </c>
      <c r="F1024" s="11" t="s">
        <v>4143</v>
      </c>
      <c r="G1024" s="9" t="s">
        <v>4144</v>
      </c>
      <c r="H1024" s="9"/>
    </row>
    <row r="1025" spans="1:8" ht="15" customHeight="1" x14ac:dyDescent="0.3">
      <c r="A1025" s="9" t="s">
        <v>3335</v>
      </c>
      <c r="B1025" s="9">
        <v>0</v>
      </c>
      <c r="C1025" s="9" t="s">
        <v>3861</v>
      </c>
      <c r="D1025" s="9" t="s">
        <v>3648</v>
      </c>
      <c r="E1025" s="9" t="s">
        <v>4142</v>
      </c>
      <c r="F1025" s="11" t="s">
        <v>4143</v>
      </c>
      <c r="G1025" s="9" t="s">
        <v>4144</v>
      </c>
      <c r="H1025" s="9"/>
    </row>
    <row r="1026" spans="1:8" ht="15" customHeight="1" x14ac:dyDescent="0.3">
      <c r="A1026" s="9" t="s">
        <v>3335</v>
      </c>
      <c r="B1026" s="9">
        <v>0</v>
      </c>
      <c r="C1026" s="9" t="s">
        <v>3862</v>
      </c>
      <c r="D1026" s="9" t="s">
        <v>3649</v>
      </c>
      <c r="E1026" s="9" t="s">
        <v>4142</v>
      </c>
      <c r="F1026" s="11" t="s">
        <v>4143</v>
      </c>
      <c r="G1026" s="9" t="s">
        <v>4144</v>
      </c>
      <c r="H1026" s="9"/>
    </row>
    <row r="1027" spans="1:8" ht="15" customHeight="1" x14ac:dyDescent="0.3">
      <c r="A1027" s="9" t="s">
        <v>3335</v>
      </c>
      <c r="B1027" s="9">
        <v>0</v>
      </c>
      <c r="C1027" s="9" t="s">
        <v>3863</v>
      </c>
      <c r="D1027" s="9" t="s">
        <v>3650</v>
      </c>
      <c r="E1027" s="9" t="s">
        <v>4142</v>
      </c>
      <c r="F1027" s="11" t="s">
        <v>4143</v>
      </c>
      <c r="G1027" s="9" t="s">
        <v>4144</v>
      </c>
      <c r="H1027" s="9"/>
    </row>
    <row r="1028" spans="1:8" ht="15" customHeight="1" x14ac:dyDescent="0.3">
      <c r="A1028" s="9" t="s">
        <v>3336</v>
      </c>
      <c r="B1028" s="9">
        <v>0</v>
      </c>
      <c r="C1028" s="9" t="s">
        <v>3864</v>
      </c>
      <c r="D1028" s="9" t="s">
        <v>3651</v>
      </c>
      <c r="E1028" s="9" t="s">
        <v>4142</v>
      </c>
      <c r="F1028" s="11" t="s">
        <v>4143</v>
      </c>
      <c r="G1028" s="9" t="s">
        <v>4144</v>
      </c>
      <c r="H1028" s="9"/>
    </row>
    <row r="1029" spans="1:8" ht="15" customHeight="1" x14ac:dyDescent="0.3">
      <c r="A1029" s="9" t="s">
        <v>3336</v>
      </c>
      <c r="B1029" s="9">
        <v>0</v>
      </c>
      <c r="C1029" s="9" t="s">
        <v>3865</v>
      </c>
      <c r="D1029" s="9" t="s">
        <v>3652</v>
      </c>
      <c r="E1029" s="9" t="s">
        <v>4142</v>
      </c>
      <c r="F1029" s="11" t="s">
        <v>4143</v>
      </c>
      <c r="G1029" s="9" t="s">
        <v>4144</v>
      </c>
      <c r="H1029" s="9"/>
    </row>
    <row r="1030" spans="1:8" ht="15" customHeight="1" x14ac:dyDescent="0.3">
      <c r="A1030" s="9" t="s">
        <v>3336</v>
      </c>
      <c r="B1030" s="9">
        <v>0</v>
      </c>
      <c r="C1030" s="9" t="s">
        <v>3866</v>
      </c>
      <c r="D1030" s="9" t="s">
        <v>3653</v>
      </c>
      <c r="E1030" s="9" t="s">
        <v>4142</v>
      </c>
      <c r="F1030" s="11" t="s">
        <v>4143</v>
      </c>
      <c r="G1030" s="9" t="s">
        <v>4144</v>
      </c>
      <c r="H1030" s="9"/>
    </row>
    <row r="1031" spans="1:8" ht="15" customHeight="1" x14ac:dyDescent="0.3">
      <c r="A1031" s="9" t="s">
        <v>3336</v>
      </c>
      <c r="B1031" s="9">
        <v>0</v>
      </c>
      <c r="C1031" s="9" t="s">
        <v>3867</v>
      </c>
      <c r="D1031" s="9" t="s">
        <v>3654</v>
      </c>
      <c r="E1031" s="9" t="s">
        <v>4142</v>
      </c>
      <c r="F1031" s="11" t="s">
        <v>4143</v>
      </c>
      <c r="G1031" s="9" t="s">
        <v>4144</v>
      </c>
      <c r="H1031" s="9"/>
    </row>
    <row r="1032" spans="1:8" ht="15" customHeight="1" x14ac:dyDescent="0.3">
      <c r="A1032" s="9" t="s">
        <v>3336</v>
      </c>
      <c r="B1032" s="9">
        <v>0</v>
      </c>
      <c r="C1032" s="9" t="s">
        <v>3868</v>
      </c>
      <c r="D1032" s="9" t="s">
        <v>3655</v>
      </c>
      <c r="E1032" s="9" t="s">
        <v>4142</v>
      </c>
      <c r="F1032" s="11" t="s">
        <v>4143</v>
      </c>
      <c r="G1032" s="9" t="s">
        <v>4144</v>
      </c>
      <c r="H1032" s="9"/>
    </row>
    <row r="1033" spans="1:8" ht="15" customHeight="1" x14ac:dyDescent="0.3">
      <c r="A1033" s="9" t="s">
        <v>3336</v>
      </c>
      <c r="B1033" s="9">
        <v>0</v>
      </c>
      <c r="C1033" s="9" t="s">
        <v>3869</v>
      </c>
      <c r="D1033" s="9" t="s">
        <v>3656</v>
      </c>
      <c r="E1033" s="9" t="s">
        <v>4142</v>
      </c>
      <c r="F1033" s="11" t="s">
        <v>4143</v>
      </c>
      <c r="G1033" s="9" t="s">
        <v>4144</v>
      </c>
      <c r="H1033" s="9"/>
    </row>
    <row r="1034" spans="1:8" ht="15" customHeight="1" x14ac:dyDescent="0.3">
      <c r="A1034" s="9" t="s">
        <v>3336</v>
      </c>
      <c r="B1034" s="9">
        <v>0</v>
      </c>
      <c r="C1034" s="9" t="s">
        <v>3870</v>
      </c>
      <c r="D1034" s="9" t="s">
        <v>3657</v>
      </c>
      <c r="E1034" s="9" t="s">
        <v>4142</v>
      </c>
      <c r="F1034" s="11" t="s">
        <v>4143</v>
      </c>
      <c r="G1034" s="9" t="s">
        <v>4144</v>
      </c>
      <c r="H1034" s="9"/>
    </row>
    <row r="1035" spans="1:8" ht="15" customHeight="1" x14ac:dyDescent="0.3">
      <c r="A1035" s="9" t="s">
        <v>3336</v>
      </c>
      <c r="B1035" s="9">
        <v>0</v>
      </c>
      <c r="C1035" s="9" t="s">
        <v>3871</v>
      </c>
      <c r="D1035" s="9" t="s">
        <v>3658</v>
      </c>
      <c r="E1035" s="9" t="s">
        <v>4142</v>
      </c>
      <c r="F1035" s="11" t="s">
        <v>4143</v>
      </c>
      <c r="G1035" s="9" t="s">
        <v>4144</v>
      </c>
      <c r="H1035" s="9"/>
    </row>
    <row r="1036" spans="1:8" ht="15" customHeight="1" x14ac:dyDescent="0.3">
      <c r="A1036" s="9" t="s">
        <v>3336</v>
      </c>
      <c r="B1036" s="9">
        <v>0</v>
      </c>
      <c r="C1036" s="9" t="s">
        <v>3872</v>
      </c>
      <c r="D1036" s="9" t="s">
        <v>3659</v>
      </c>
      <c r="E1036" s="9" t="s">
        <v>4142</v>
      </c>
      <c r="F1036" s="11" t="s">
        <v>4143</v>
      </c>
      <c r="G1036" s="9" t="s">
        <v>4144</v>
      </c>
      <c r="H1036" s="9"/>
    </row>
    <row r="1037" spans="1:8" ht="15" customHeight="1" x14ac:dyDescent="0.3">
      <c r="A1037" s="9" t="s">
        <v>3336</v>
      </c>
      <c r="B1037" s="9">
        <v>0</v>
      </c>
      <c r="C1037" s="9" t="s">
        <v>3873</v>
      </c>
      <c r="D1037" s="9" t="s">
        <v>3660</v>
      </c>
      <c r="E1037" s="9" t="s">
        <v>4142</v>
      </c>
      <c r="F1037" s="11" t="s">
        <v>4143</v>
      </c>
      <c r="G1037" s="9" t="s">
        <v>4144</v>
      </c>
      <c r="H1037" s="9"/>
    </row>
    <row r="1038" spans="1:8" ht="15" customHeight="1" x14ac:dyDescent="0.3">
      <c r="A1038" s="9" t="s">
        <v>3336</v>
      </c>
      <c r="B1038" s="9">
        <v>0</v>
      </c>
      <c r="C1038" s="9" t="s">
        <v>3874</v>
      </c>
      <c r="D1038" s="9" t="s">
        <v>3661</v>
      </c>
      <c r="E1038" s="9" t="s">
        <v>4142</v>
      </c>
      <c r="F1038" s="11" t="s">
        <v>4143</v>
      </c>
      <c r="G1038" s="9" t="s">
        <v>4144</v>
      </c>
      <c r="H1038" s="9"/>
    </row>
    <row r="1039" spans="1:8" ht="15" customHeight="1" x14ac:dyDescent="0.3">
      <c r="A1039" s="9" t="s">
        <v>3336</v>
      </c>
      <c r="B1039" s="9">
        <v>0</v>
      </c>
      <c r="C1039" s="9" t="s">
        <v>3875</v>
      </c>
      <c r="D1039" s="9" t="s">
        <v>3662</v>
      </c>
      <c r="E1039" s="9" t="s">
        <v>4142</v>
      </c>
      <c r="F1039" s="11" t="s">
        <v>4143</v>
      </c>
      <c r="G1039" s="9" t="s">
        <v>4144</v>
      </c>
      <c r="H1039" s="9"/>
    </row>
    <row r="1040" spans="1:8" ht="15" customHeight="1" x14ac:dyDescent="0.3">
      <c r="A1040" s="9" t="s">
        <v>3336</v>
      </c>
      <c r="B1040" s="9">
        <v>0</v>
      </c>
      <c r="C1040" s="9" t="s">
        <v>3876</v>
      </c>
      <c r="D1040" s="9" t="s">
        <v>3663</v>
      </c>
      <c r="E1040" s="9" t="s">
        <v>4142</v>
      </c>
      <c r="F1040" s="11" t="s">
        <v>4143</v>
      </c>
      <c r="G1040" s="9" t="s">
        <v>4144</v>
      </c>
      <c r="H1040" s="9"/>
    </row>
    <row r="1041" spans="1:8" ht="15" customHeight="1" x14ac:dyDescent="0.3">
      <c r="A1041" s="9" t="s">
        <v>3336</v>
      </c>
      <c r="B1041" s="9">
        <v>0</v>
      </c>
      <c r="C1041" s="9" t="s">
        <v>3877</v>
      </c>
      <c r="D1041" s="9" t="s">
        <v>3664</v>
      </c>
      <c r="E1041" s="9" t="s">
        <v>4142</v>
      </c>
      <c r="F1041" s="11" t="s">
        <v>4143</v>
      </c>
      <c r="G1041" s="9" t="s">
        <v>4144</v>
      </c>
      <c r="H1041" s="9"/>
    </row>
    <row r="1042" spans="1:8" ht="15" customHeight="1" x14ac:dyDescent="0.3">
      <c r="A1042" s="9" t="s">
        <v>3336</v>
      </c>
      <c r="B1042" s="9">
        <v>0</v>
      </c>
      <c r="C1042" s="9" t="s">
        <v>3878</v>
      </c>
      <c r="D1042" s="9" t="s">
        <v>3665</v>
      </c>
      <c r="E1042" s="9" t="s">
        <v>4142</v>
      </c>
      <c r="F1042" s="11" t="s">
        <v>4143</v>
      </c>
      <c r="G1042" s="9" t="s">
        <v>4144</v>
      </c>
      <c r="H1042" s="9"/>
    </row>
    <row r="1043" spans="1:8" ht="15" customHeight="1" x14ac:dyDescent="0.3">
      <c r="A1043" s="9" t="s">
        <v>3336</v>
      </c>
      <c r="B1043" s="9">
        <v>0</v>
      </c>
      <c r="C1043" s="9" t="s">
        <v>3879</v>
      </c>
      <c r="D1043" s="9" t="s">
        <v>3666</v>
      </c>
      <c r="E1043" s="9" t="s">
        <v>4142</v>
      </c>
      <c r="F1043" s="11" t="s">
        <v>4143</v>
      </c>
      <c r="G1043" s="9" t="s">
        <v>4144</v>
      </c>
      <c r="H1043" s="9"/>
    </row>
    <row r="1044" spans="1:8" ht="15" customHeight="1" x14ac:dyDescent="0.3">
      <c r="A1044" s="9" t="s">
        <v>3336</v>
      </c>
      <c r="B1044" s="9">
        <v>0</v>
      </c>
      <c r="C1044" s="9" t="s">
        <v>3880</v>
      </c>
      <c r="D1044" s="9" t="s">
        <v>3667</v>
      </c>
      <c r="E1044" s="9" t="s">
        <v>4142</v>
      </c>
      <c r="F1044" s="11" t="s">
        <v>4143</v>
      </c>
      <c r="G1044" s="9" t="s">
        <v>4144</v>
      </c>
      <c r="H1044" s="9"/>
    </row>
    <row r="1045" spans="1:8" ht="15" customHeight="1" x14ac:dyDescent="0.3">
      <c r="A1045" s="9" t="s">
        <v>3336</v>
      </c>
      <c r="B1045" s="9">
        <v>0</v>
      </c>
      <c r="C1045" s="9" t="s">
        <v>3881</v>
      </c>
      <c r="D1045" s="9" t="s">
        <v>3668</v>
      </c>
      <c r="E1045" s="9" t="s">
        <v>4142</v>
      </c>
      <c r="F1045" s="11" t="s">
        <v>4143</v>
      </c>
      <c r="G1045" s="9" t="s">
        <v>4144</v>
      </c>
      <c r="H1045" s="9"/>
    </row>
    <row r="1046" spans="1:8" ht="15" customHeight="1" x14ac:dyDescent="0.3">
      <c r="A1046" s="9" t="s">
        <v>3336</v>
      </c>
      <c r="B1046" s="9">
        <v>0</v>
      </c>
      <c r="C1046" s="9" t="s">
        <v>3882</v>
      </c>
      <c r="D1046" s="9" t="s">
        <v>3669</v>
      </c>
      <c r="E1046" s="9" t="s">
        <v>4142</v>
      </c>
      <c r="F1046" s="11" t="s">
        <v>4143</v>
      </c>
      <c r="G1046" s="9" t="s">
        <v>4144</v>
      </c>
      <c r="H1046" s="9"/>
    </row>
    <row r="1047" spans="1:8" ht="15" customHeight="1" x14ac:dyDescent="0.3">
      <c r="A1047" s="9" t="s">
        <v>3336</v>
      </c>
      <c r="B1047" s="9">
        <v>0</v>
      </c>
      <c r="C1047" s="9" t="s">
        <v>3883</v>
      </c>
      <c r="D1047" s="9" t="s">
        <v>3670</v>
      </c>
      <c r="E1047" s="9" t="s">
        <v>4142</v>
      </c>
      <c r="F1047" s="11" t="s">
        <v>4143</v>
      </c>
      <c r="G1047" s="9" t="s">
        <v>4144</v>
      </c>
      <c r="H1047" s="9"/>
    </row>
    <row r="1048" spans="1:8" ht="15" customHeight="1" x14ac:dyDescent="0.3">
      <c r="A1048" s="9" t="s">
        <v>3336</v>
      </c>
      <c r="B1048" s="9">
        <v>0</v>
      </c>
      <c r="C1048" s="9" t="s">
        <v>3884</v>
      </c>
      <c r="D1048" s="9" t="s">
        <v>3671</v>
      </c>
      <c r="E1048" s="9" t="s">
        <v>4142</v>
      </c>
      <c r="F1048" s="11" t="s">
        <v>4143</v>
      </c>
      <c r="G1048" s="9" t="s">
        <v>4144</v>
      </c>
      <c r="H1048" s="9"/>
    </row>
    <row r="1049" spans="1:8" ht="15" customHeight="1" x14ac:dyDescent="0.3">
      <c r="A1049" s="9" t="s">
        <v>3336</v>
      </c>
      <c r="B1049" s="9">
        <v>0</v>
      </c>
      <c r="C1049" s="9" t="s">
        <v>3885</v>
      </c>
      <c r="D1049" s="9" t="s">
        <v>3672</v>
      </c>
      <c r="E1049" s="9" t="s">
        <v>4142</v>
      </c>
      <c r="F1049" s="11" t="s">
        <v>4143</v>
      </c>
      <c r="G1049" s="9" t="s">
        <v>4144</v>
      </c>
      <c r="H1049" s="9"/>
    </row>
    <row r="1050" spans="1:8" ht="15" customHeight="1" x14ac:dyDescent="0.3">
      <c r="A1050" s="9" t="s">
        <v>3336</v>
      </c>
      <c r="B1050" s="9">
        <v>0</v>
      </c>
      <c r="C1050" s="9" t="s">
        <v>3886</v>
      </c>
      <c r="D1050" s="9" t="s">
        <v>3673</v>
      </c>
      <c r="E1050" s="9" t="s">
        <v>4142</v>
      </c>
      <c r="F1050" s="11" t="s">
        <v>4143</v>
      </c>
      <c r="G1050" s="9" t="s">
        <v>4144</v>
      </c>
      <c r="H1050" s="9"/>
    </row>
    <row r="1051" spans="1:8" ht="15" customHeight="1" x14ac:dyDescent="0.3">
      <c r="A1051" s="9" t="s">
        <v>3336</v>
      </c>
      <c r="B1051" s="9">
        <v>0</v>
      </c>
      <c r="C1051" s="9" t="s">
        <v>3887</v>
      </c>
      <c r="D1051" s="9" t="s">
        <v>3674</v>
      </c>
      <c r="E1051" s="9" t="s">
        <v>4142</v>
      </c>
      <c r="F1051" s="11" t="s">
        <v>4143</v>
      </c>
      <c r="G1051" s="9" t="s">
        <v>4144</v>
      </c>
      <c r="H1051" s="9"/>
    </row>
    <row r="1052" spans="1:8" ht="15" customHeight="1" x14ac:dyDescent="0.3">
      <c r="A1052" s="9" t="s">
        <v>3336</v>
      </c>
      <c r="B1052" s="9">
        <v>0</v>
      </c>
      <c r="C1052" s="9" t="s">
        <v>3888</v>
      </c>
      <c r="D1052" s="9" t="s">
        <v>3675</v>
      </c>
      <c r="E1052" s="9" t="s">
        <v>4142</v>
      </c>
      <c r="F1052" s="11" t="s">
        <v>4143</v>
      </c>
      <c r="G1052" s="9" t="s">
        <v>4144</v>
      </c>
      <c r="H1052" s="9"/>
    </row>
    <row r="1053" spans="1:8" ht="15" customHeight="1" x14ac:dyDescent="0.3">
      <c r="A1053" s="9" t="s">
        <v>3336</v>
      </c>
      <c r="B1053" s="9">
        <v>0</v>
      </c>
      <c r="C1053" s="9" t="s">
        <v>3889</v>
      </c>
      <c r="D1053" s="9" t="s">
        <v>3676</v>
      </c>
      <c r="E1053" s="9" t="s">
        <v>4142</v>
      </c>
      <c r="F1053" s="11" t="s">
        <v>4143</v>
      </c>
      <c r="G1053" s="9" t="s">
        <v>4144</v>
      </c>
      <c r="H1053" s="9"/>
    </row>
    <row r="1054" spans="1:8" ht="15" customHeight="1" x14ac:dyDescent="0.3">
      <c r="A1054" s="9" t="s">
        <v>3336</v>
      </c>
      <c r="B1054" s="9">
        <v>0</v>
      </c>
      <c r="C1054" s="9" t="s">
        <v>3890</v>
      </c>
      <c r="D1054" s="9" t="s">
        <v>3677</v>
      </c>
      <c r="E1054" s="9" t="s">
        <v>4142</v>
      </c>
      <c r="F1054" s="11" t="s">
        <v>4143</v>
      </c>
      <c r="G1054" s="9" t="s">
        <v>4144</v>
      </c>
      <c r="H1054" s="9"/>
    </row>
    <row r="1055" spans="1:8" ht="15" customHeight="1" x14ac:dyDescent="0.3">
      <c r="A1055" s="9" t="s">
        <v>3336</v>
      </c>
      <c r="B1055" s="9">
        <v>0</v>
      </c>
      <c r="C1055" s="9" t="s">
        <v>3891</v>
      </c>
      <c r="D1055" s="9" t="s">
        <v>3678</v>
      </c>
      <c r="E1055" s="9" t="s">
        <v>4142</v>
      </c>
      <c r="F1055" s="11" t="s">
        <v>4143</v>
      </c>
      <c r="G1055" s="9" t="s">
        <v>4144</v>
      </c>
      <c r="H1055" s="9"/>
    </row>
    <row r="1056" spans="1:8" ht="15" customHeight="1" x14ac:dyDescent="0.3">
      <c r="A1056" s="9" t="s">
        <v>3336</v>
      </c>
      <c r="B1056" s="9">
        <v>0</v>
      </c>
      <c r="C1056" s="9" t="s">
        <v>3892</v>
      </c>
      <c r="D1056" s="9" t="s">
        <v>3679</v>
      </c>
      <c r="E1056" s="9" t="s">
        <v>4142</v>
      </c>
      <c r="F1056" s="11" t="s">
        <v>4143</v>
      </c>
      <c r="G1056" s="9" t="s">
        <v>4144</v>
      </c>
      <c r="H1056" s="9"/>
    </row>
    <row r="1057" spans="1:8" ht="15" customHeight="1" x14ac:dyDescent="0.3">
      <c r="A1057" s="9" t="s">
        <v>3336</v>
      </c>
      <c r="B1057" s="9">
        <v>0</v>
      </c>
      <c r="C1057" s="9" t="s">
        <v>3893</v>
      </c>
      <c r="D1057" s="9" t="s">
        <v>3680</v>
      </c>
      <c r="E1057" s="9" t="s">
        <v>4142</v>
      </c>
      <c r="F1057" s="11" t="s">
        <v>4143</v>
      </c>
      <c r="G1057" s="9" t="s">
        <v>4144</v>
      </c>
      <c r="H1057" s="9"/>
    </row>
    <row r="1058" spans="1:8" ht="15" customHeight="1" x14ac:dyDescent="0.3">
      <c r="A1058" s="9" t="s">
        <v>3336</v>
      </c>
      <c r="B1058" s="9">
        <v>0</v>
      </c>
      <c r="C1058" s="9" t="s">
        <v>3894</v>
      </c>
      <c r="D1058" s="9" t="s">
        <v>3681</v>
      </c>
      <c r="E1058" s="9" t="s">
        <v>4142</v>
      </c>
      <c r="F1058" s="11" t="s">
        <v>4143</v>
      </c>
      <c r="G1058" s="9" t="s">
        <v>4144</v>
      </c>
      <c r="H1058" s="9"/>
    </row>
    <row r="1059" spans="1:8" ht="15" customHeight="1" x14ac:dyDescent="0.3">
      <c r="A1059" s="9" t="s">
        <v>3336</v>
      </c>
      <c r="B1059" s="9">
        <v>0</v>
      </c>
      <c r="C1059" s="9" t="s">
        <v>3895</v>
      </c>
      <c r="D1059" s="9" t="s">
        <v>3682</v>
      </c>
      <c r="E1059" s="9" t="s">
        <v>4142</v>
      </c>
      <c r="F1059" s="11" t="s">
        <v>4143</v>
      </c>
      <c r="G1059" s="9" t="s">
        <v>4144</v>
      </c>
      <c r="H1059" s="9"/>
    </row>
    <row r="1060" spans="1:8" ht="15" customHeight="1" x14ac:dyDescent="0.3">
      <c r="A1060" s="9" t="s">
        <v>3336</v>
      </c>
      <c r="B1060" s="9">
        <v>0</v>
      </c>
      <c r="C1060" s="9" t="s">
        <v>3896</v>
      </c>
      <c r="D1060" s="9" t="s">
        <v>3683</v>
      </c>
      <c r="E1060" s="9" t="s">
        <v>4142</v>
      </c>
      <c r="F1060" s="11" t="s">
        <v>4143</v>
      </c>
      <c r="G1060" s="9" t="s">
        <v>4144</v>
      </c>
      <c r="H1060" s="9"/>
    </row>
    <row r="1061" spans="1:8" ht="15" customHeight="1" x14ac:dyDescent="0.3">
      <c r="A1061" s="9" t="s">
        <v>3336</v>
      </c>
      <c r="B1061" s="9">
        <v>0</v>
      </c>
      <c r="C1061" s="9" t="s">
        <v>3897</v>
      </c>
      <c r="D1061" s="9" t="s">
        <v>3684</v>
      </c>
      <c r="E1061" s="9" t="s">
        <v>4142</v>
      </c>
      <c r="F1061" s="11" t="s">
        <v>4143</v>
      </c>
      <c r="G1061" s="9" t="s">
        <v>4144</v>
      </c>
      <c r="H1061" s="9"/>
    </row>
    <row r="1062" spans="1:8" ht="15" customHeight="1" x14ac:dyDescent="0.3">
      <c r="A1062" s="9" t="s">
        <v>3336</v>
      </c>
      <c r="B1062" s="9">
        <v>0</v>
      </c>
      <c r="C1062" s="9" t="s">
        <v>3898</v>
      </c>
      <c r="D1062" s="9" t="s">
        <v>3685</v>
      </c>
      <c r="E1062" s="9" t="s">
        <v>4142</v>
      </c>
      <c r="F1062" s="11" t="s">
        <v>4143</v>
      </c>
      <c r="G1062" s="9" t="s">
        <v>4144</v>
      </c>
      <c r="H1062" s="9"/>
    </row>
    <row r="1063" spans="1:8" ht="15" customHeight="1" x14ac:dyDescent="0.3">
      <c r="A1063" s="9" t="s">
        <v>3336</v>
      </c>
      <c r="B1063" s="9">
        <v>0</v>
      </c>
      <c r="C1063" s="9" t="s">
        <v>3899</v>
      </c>
      <c r="D1063" s="9" t="s">
        <v>3686</v>
      </c>
      <c r="E1063" s="9" t="s">
        <v>4142</v>
      </c>
      <c r="F1063" s="11" t="s">
        <v>4143</v>
      </c>
      <c r="G1063" s="9" t="s">
        <v>4144</v>
      </c>
      <c r="H1063" s="9"/>
    </row>
    <row r="1064" spans="1:8" ht="15" customHeight="1" x14ac:dyDescent="0.3">
      <c r="A1064" s="9" t="s">
        <v>3336</v>
      </c>
      <c r="B1064" s="9">
        <v>0</v>
      </c>
      <c r="C1064" s="9" t="s">
        <v>3900</v>
      </c>
      <c r="D1064" s="9" t="s">
        <v>3687</v>
      </c>
      <c r="E1064" s="9" t="s">
        <v>4142</v>
      </c>
      <c r="F1064" s="11" t="s">
        <v>4143</v>
      </c>
      <c r="G1064" s="9" t="s">
        <v>4144</v>
      </c>
      <c r="H1064" s="9"/>
    </row>
    <row r="1065" spans="1:8" ht="15" customHeight="1" x14ac:dyDescent="0.3">
      <c r="A1065" s="9" t="s">
        <v>3336</v>
      </c>
      <c r="B1065" s="9">
        <v>0</v>
      </c>
      <c r="C1065" s="9" t="s">
        <v>3901</v>
      </c>
      <c r="D1065" s="9" t="s">
        <v>3688</v>
      </c>
      <c r="E1065" s="9" t="s">
        <v>4142</v>
      </c>
      <c r="F1065" s="11" t="s">
        <v>4143</v>
      </c>
      <c r="G1065" s="9" t="s">
        <v>4144</v>
      </c>
      <c r="H1065" s="9"/>
    </row>
    <row r="1066" spans="1:8" ht="15" customHeight="1" x14ac:dyDescent="0.3">
      <c r="A1066" s="9" t="s">
        <v>3336</v>
      </c>
      <c r="B1066" s="9">
        <v>0</v>
      </c>
      <c r="C1066" s="9" t="s">
        <v>3902</v>
      </c>
      <c r="D1066" s="9" t="s">
        <v>3689</v>
      </c>
      <c r="E1066" s="9" t="s">
        <v>4142</v>
      </c>
      <c r="F1066" s="11" t="s">
        <v>4143</v>
      </c>
      <c r="G1066" s="9" t="s">
        <v>4144</v>
      </c>
      <c r="H1066" s="9"/>
    </row>
    <row r="1067" spans="1:8" ht="15" customHeight="1" x14ac:dyDescent="0.3">
      <c r="A1067" s="9" t="s">
        <v>3336</v>
      </c>
      <c r="B1067" s="9">
        <v>0</v>
      </c>
      <c r="C1067" s="9" t="s">
        <v>3903</v>
      </c>
      <c r="D1067" s="9" t="s">
        <v>3690</v>
      </c>
      <c r="E1067" s="9" t="s">
        <v>4142</v>
      </c>
      <c r="F1067" s="11" t="s">
        <v>4143</v>
      </c>
      <c r="G1067" s="9" t="s">
        <v>4144</v>
      </c>
      <c r="H1067" s="9"/>
    </row>
    <row r="1068" spans="1:8" ht="15" customHeight="1" x14ac:dyDescent="0.3">
      <c r="A1068" s="9" t="s">
        <v>3336</v>
      </c>
      <c r="B1068" s="9">
        <v>0</v>
      </c>
      <c r="C1068" s="9" t="s">
        <v>3904</v>
      </c>
      <c r="D1068" s="9" t="s">
        <v>3691</v>
      </c>
      <c r="E1068" s="9" t="s">
        <v>4142</v>
      </c>
      <c r="F1068" s="11" t="s">
        <v>4143</v>
      </c>
      <c r="G1068" s="9" t="s">
        <v>4144</v>
      </c>
      <c r="H1068" s="9"/>
    </row>
    <row r="1069" spans="1:8" ht="15" customHeight="1" x14ac:dyDescent="0.3">
      <c r="A1069" s="9" t="s">
        <v>3336</v>
      </c>
      <c r="B1069" s="9">
        <v>0</v>
      </c>
      <c r="C1069" s="9" t="s">
        <v>3905</v>
      </c>
      <c r="D1069" s="9" t="s">
        <v>3692</v>
      </c>
      <c r="E1069" s="9" t="s">
        <v>4142</v>
      </c>
      <c r="F1069" s="11" t="s">
        <v>4143</v>
      </c>
      <c r="G1069" s="9" t="s">
        <v>4144</v>
      </c>
      <c r="H1069" s="9"/>
    </row>
    <row r="1070" spans="1:8" ht="15" customHeight="1" x14ac:dyDescent="0.3">
      <c r="A1070" s="9" t="s">
        <v>3336</v>
      </c>
      <c r="B1070" s="9">
        <v>0</v>
      </c>
      <c r="C1070" s="9" t="s">
        <v>3906</v>
      </c>
      <c r="D1070" s="9" t="s">
        <v>3693</v>
      </c>
      <c r="E1070" s="9" t="s">
        <v>4142</v>
      </c>
      <c r="F1070" s="11" t="s">
        <v>4143</v>
      </c>
      <c r="G1070" s="9" t="s">
        <v>4144</v>
      </c>
      <c r="H1070" s="9"/>
    </row>
    <row r="1071" spans="1:8" ht="15" customHeight="1" x14ac:dyDescent="0.3">
      <c r="A1071" s="9" t="s">
        <v>3336</v>
      </c>
      <c r="B1071" s="9">
        <v>0</v>
      </c>
      <c r="C1071" s="9" t="s">
        <v>3907</v>
      </c>
      <c r="D1071" s="9" t="s">
        <v>3694</v>
      </c>
      <c r="E1071" s="9" t="s">
        <v>4142</v>
      </c>
      <c r="F1071" s="11" t="s">
        <v>4143</v>
      </c>
      <c r="G1071" s="9" t="s">
        <v>4144</v>
      </c>
      <c r="H1071" s="9"/>
    </row>
    <row r="1072" spans="1:8" ht="15" customHeight="1" x14ac:dyDescent="0.3">
      <c r="A1072" s="9" t="s">
        <v>3336</v>
      </c>
      <c r="B1072" s="9">
        <v>0</v>
      </c>
      <c r="C1072" s="9" t="s">
        <v>3908</v>
      </c>
      <c r="D1072" s="9" t="s">
        <v>3695</v>
      </c>
      <c r="E1072" s="9" t="s">
        <v>4142</v>
      </c>
      <c r="F1072" s="11" t="s">
        <v>4143</v>
      </c>
      <c r="G1072" s="9" t="s">
        <v>4144</v>
      </c>
      <c r="H1072" s="9"/>
    </row>
    <row r="1073" spans="1:8" ht="15" customHeight="1" x14ac:dyDescent="0.3">
      <c r="A1073" s="9" t="s">
        <v>3337</v>
      </c>
      <c r="B1073" s="9">
        <v>0</v>
      </c>
      <c r="C1073" s="9" t="s">
        <v>3909</v>
      </c>
      <c r="D1073" s="9" t="s">
        <v>3696</v>
      </c>
      <c r="E1073" s="9" t="s">
        <v>4142</v>
      </c>
      <c r="F1073" s="11" t="s">
        <v>4143</v>
      </c>
      <c r="G1073" s="9" t="s">
        <v>4144</v>
      </c>
      <c r="H1073" s="9"/>
    </row>
    <row r="1074" spans="1:8" ht="15" customHeight="1" x14ac:dyDescent="0.3">
      <c r="A1074" s="9" t="s">
        <v>3337</v>
      </c>
      <c r="B1074" s="9">
        <v>0</v>
      </c>
      <c r="C1074" s="9" t="s">
        <v>3910</v>
      </c>
      <c r="D1074" s="9" t="s">
        <v>3697</v>
      </c>
      <c r="E1074" s="9" t="s">
        <v>4142</v>
      </c>
      <c r="F1074" s="11" t="s">
        <v>4143</v>
      </c>
      <c r="G1074" s="9" t="s">
        <v>4144</v>
      </c>
      <c r="H1074" s="9"/>
    </row>
    <row r="1075" spans="1:8" ht="15" customHeight="1" x14ac:dyDescent="0.3">
      <c r="A1075" s="9" t="s">
        <v>3337</v>
      </c>
      <c r="B1075" s="9">
        <v>0</v>
      </c>
      <c r="C1075" s="9" t="s">
        <v>3911</v>
      </c>
      <c r="D1075" s="9" t="s">
        <v>3698</v>
      </c>
      <c r="E1075" s="9" t="s">
        <v>4142</v>
      </c>
      <c r="F1075" s="11" t="s">
        <v>4143</v>
      </c>
      <c r="G1075" s="9" t="s">
        <v>4144</v>
      </c>
      <c r="H1075" s="9"/>
    </row>
    <row r="1076" spans="1:8" ht="15" customHeight="1" x14ac:dyDescent="0.3">
      <c r="A1076" s="9" t="s">
        <v>3337</v>
      </c>
      <c r="B1076" s="9">
        <v>0</v>
      </c>
      <c r="C1076" s="9" t="s">
        <v>3912</v>
      </c>
      <c r="D1076" s="9" t="s">
        <v>3699</v>
      </c>
      <c r="E1076" s="9" t="s">
        <v>4142</v>
      </c>
      <c r="F1076" s="11" t="s">
        <v>4143</v>
      </c>
      <c r="G1076" s="9" t="s">
        <v>4144</v>
      </c>
      <c r="H1076" s="9"/>
    </row>
    <row r="1077" spans="1:8" ht="15" customHeight="1" x14ac:dyDescent="0.3">
      <c r="A1077" s="9" t="s">
        <v>3337</v>
      </c>
      <c r="B1077" s="9">
        <v>0</v>
      </c>
      <c r="C1077" s="9" t="s">
        <v>3913</v>
      </c>
      <c r="D1077" s="9" t="s">
        <v>3700</v>
      </c>
      <c r="E1077" s="9" t="s">
        <v>4142</v>
      </c>
      <c r="F1077" s="11" t="s">
        <v>4143</v>
      </c>
      <c r="G1077" s="9" t="s">
        <v>4144</v>
      </c>
      <c r="H1077" s="9"/>
    </row>
    <row r="1078" spans="1:8" ht="15" customHeight="1" x14ac:dyDescent="0.3">
      <c r="A1078" s="9" t="s">
        <v>3337</v>
      </c>
      <c r="B1078" s="9">
        <v>0</v>
      </c>
      <c r="C1078" s="9" t="s">
        <v>3914</v>
      </c>
      <c r="D1078" s="9" t="s">
        <v>3701</v>
      </c>
      <c r="E1078" s="9" t="s">
        <v>4142</v>
      </c>
      <c r="F1078" s="11" t="s">
        <v>4143</v>
      </c>
      <c r="G1078" s="9" t="s">
        <v>4144</v>
      </c>
      <c r="H1078" s="9"/>
    </row>
    <row r="1079" spans="1:8" ht="15" customHeight="1" x14ac:dyDescent="0.3">
      <c r="A1079" s="9" t="s">
        <v>3337</v>
      </c>
      <c r="B1079" s="9">
        <v>0</v>
      </c>
      <c r="C1079" s="9" t="s">
        <v>3915</v>
      </c>
      <c r="D1079" s="9" t="s">
        <v>3702</v>
      </c>
      <c r="E1079" s="9" t="s">
        <v>4142</v>
      </c>
      <c r="F1079" s="11" t="s">
        <v>4143</v>
      </c>
      <c r="G1079" s="9" t="s">
        <v>4144</v>
      </c>
      <c r="H1079" s="9"/>
    </row>
    <row r="1080" spans="1:8" ht="15" customHeight="1" x14ac:dyDescent="0.3">
      <c r="A1080" s="9" t="s">
        <v>3337</v>
      </c>
      <c r="B1080" s="9">
        <v>0</v>
      </c>
      <c r="C1080" s="9" t="s">
        <v>3916</v>
      </c>
      <c r="D1080" s="9" t="s">
        <v>3703</v>
      </c>
      <c r="E1080" s="9" t="s">
        <v>4142</v>
      </c>
      <c r="F1080" s="11" t="s">
        <v>4143</v>
      </c>
      <c r="G1080" s="9" t="s">
        <v>4144</v>
      </c>
      <c r="H1080" s="9"/>
    </row>
    <row r="1081" spans="1:8" ht="15" customHeight="1" x14ac:dyDescent="0.3">
      <c r="A1081" s="9" t="s">
        <v>3337</v>
      </c>
      <c r="B1081" s="9">
        <v>0</v>
      </c>
      <c r="C1081" s="9" t="s">
        <v>3917</v>
      </c>
      <c r="D1081" s="9" t="s">
        <v>3704</v>
      </c>
      <c r="E1081" s="9" t="s">
        <v>4142</v>
      </c>
      <c r="F1081" s="11" t="s">
        <v>4143</v>
      </c>
      <c r="G1081" s="9" t="s">
        <v>4144</v>
      </c>
      <c r="H1081" s="9"/>
    </row>
    <row r="1082" spans="1:8" ht="15" customHeight="1" x14ac:dyDescent="0.3">
      <c r="A1082" s="9" t="s">
        <v>3337</v>
      </c>
      <c r="B1082" s="9">
        <v>0</v>
      </c>
      <c r="C1082" s="9" t="s">
        <v>3918</v>
      </c>
      <c r="D1082" s="9" t="s">
        <v>3705</v>
      </c>
      <c r="E1082" s="9" t="s">
        <v>4142</v>
      </c>
      <c r="F1082" s="11" t="s">
        <v>4143</v>
      </c>
      <c r="G1082" s="9" t="s">
        <v>4144</v>
      </c>
      <c r="H1082" s="9"/>
    </row>
    <row r="1083" spans="1:8" ht="15" customHeight="1" x14ac:dyDescent="0.3">
      <c r="A1083" s="9" t="s">
        <v>3337</v>
      </c>
      <c r="B1083" s="9">
        <v>0</v>
      </c>
      <c r="C1083" s="9" t="s">
        <v>3919</v>
      </c>
      <c r="D1083" s="9" t="s">
        <v>3706</v>
      </c>
      <c r="E1083" s="9" t="s">
        <v>4142</v>
      </c>
      <c r="F1083" s="11" t="s">
        <v>4143</v>
      </c>
      <c r="G1083" s="9" t="s">
        <v>4144</v>
      </c>
      <c r="H1083" s="9"/>
    </row>
    <row r="1084" spans="1:8" ht="15" customHeight="1" x14ac:dyDescent="0.3">
      <c r="A1084" s="9" t="s">
        <v>3337</v>
      </c>
      <c r="B1084" s="9">
        <v>0</v>
      </c>
      <c r="C1084" s="9" t="s">
        <v>3920</v>
      </c>
      <c r="D1084" s="9" t="s">
        <v>3707</v>
      </c>
      <c r="E1084" s="9" t="s">
        <v>4142</v>
      </c>
      <c r="F1084" s="11" t="s">
        <v>4143</v>
      </c>
      <c r="G1084" s="9" t="s">
        <v>4144</v>
      </c>
      <c r="H1084" s="9"/>
    </row>
    <row r="1085" spans="1:8" ht="15" customHeight="1" x14ac:dyDescent="0.3">
      <c r="A1085" s="9" t="s">
        <v>3337</v>
      </c>
      <c r="B1085" s="9">
        <v>0</v>
      </c>
      <c r="C1085" s="9" t="s">
        <v>3921</v>
      </c>
      <c r="D1085" s="9" t="s">
        <v>3708</v>
      </c>
      <c r="E1085" s="9" t="s">
        <v>4142</v>
      </c>
      <c r="F1085" s="11" t="s">
        <v>4143</v>
      </c>
      <c r="G1085" s="9" t="s">
        <v>4144</v>
      </c>
      <c r="H1085" s="9"/>
    </row>
    <row r="1086" spans="1:8" ht="15" customHeight="1" x14ac:dyDescent="0.3">
      <c r="A1086" s="9" t="s">
        <v>3338</v>
      </c>
      <c r="B1086" s="9">
        <v>0</v>
      </c>
      <c r="C1086" s="9" t="s">
        <v>3922</v>
      </c>
      <c r="D1086" s="9" t="s">
        <v>3709</v>
      </c>
      <c r="E1086" s="9" t="s">
        <v>4142</v>
      </c>
      <c r="F1086" s="11" t="s">
        <v>4143</v>
      </c>
      <c r="G1086" s="9" t="s">
        <v>4144</v>
      </c>
      <c r="H1086" s="9"/>
    </row>
    <row r="1087" spans="1:8" ht="15" customHeight="1" x14ac:dyDescent="0.3">
      <c r="A1087" s="9" t="s">
        <v>3338</v>
      </c>
      <c r="B1087" s="9">
        <v>0</v>
      </c>
      <c r="C1087" s="9" t="s">
        <v>3923</v>
      </c>
      <c r="D1087" s="9" t="s">
        <v>3710</v>
      </c>
      <c r="E1087" s="9" t="s">
        <v>4142</v>
      </c>
      <c r="F1087" s="11" t="s">
        <v>4143</v>
      </c>
      <c r="G1087" s="9" t="s">
        <v>4144</v>
      </c>
      <c r="H1087" s="9"/>
    </row>
    <row r="1088" spans="1:8" ht="15" customHeight="1" x14ac:dyDescent="0.3">
      <c r="A1088" s="9" t="s">
        <v>3338</v>
      </c>
      <c r="B1088" s="9">
        <v>0</v>
      </c>
      <c r="C1088" s="9" t="s">
        <v>3924</v>
      </c>
      <c r="D1088" s="9" t="s">
        <v>3711</v>
      </c>
      <c r="E1088" s="9" t="s">
        <v>4142</v>
      </c>
      <c r="F1088" s="11" t="s">
        <v>4143</v>
      </c>
      <c r="G1088" s="9" t="s">
        <v>4144</v>
      </c>
      <c r="H1088" s="9"/>
    </row>
    <row r="1089" spans="1:8" ht="15" customHeight="1" x14ac:dyDescent="0.3">
      <c r="A1089" s="9" t="s">
        <v>3338</v>
      </c>
      <c r="B1089" s="9">
        <v>0</v>
      </c>
      <c r="C1089" s="9" t="s">
        <v>3925</v>
      </c>
      <c r="D1089" s="9" t="s">
        <v>3712</v>
      </c>
      <c r="E1089" s="9" t="s">
        <v>4142</v>
      </c>
      <c r="F1089" s="11" t="s">
        <v>4143</v>
      </c>
      <c r="G1089" s="9" t="s">
        <v>4144</v>
      </c>
      <c r="H1089" s="9"/>
    </row>
    <row r="1090" spans="1:8" ht="15" customHeight="1" x14ac:dyDescent="0.3">
      <c r="A1090" s="9" t="s">
        <v>3338</v>
      </c>
      <c r="B1090" s="9">
        <v>0</v>
      </c>
      <c r="C1090" s="9" t="s">
        <v>3926</v>
      </c>
      <c r="D1090" s="9" t="s">
        <v>3713</v>
      </c>
      <c r="E1090" s="9" t="s">
        <v>4142</v>
      </c>
      <c r="F1090" s="11" t="s">
        <v>4143</v>
      </c>
      <c r="G1090" s="9" t="s">
        <v>4144</v>
      </c>
      <c r="H1090" s="9"/>
    </row>
    <row r="1091" spans="1:8" ht="15" customHeight="1" x14ac:dyDescent="0.3">
      <c r="A1091" s="9" t="s">
        <v>3338</v>
      </c>
      <c r="B1091" s="9">
        <v>0</v>
      </c>
      <c r="C1091" s="9" t="s">
        <v>3927</v>
      </c>
      <c r="D1091" s="9" t="s">
        <v>3714</v>
      </c>
      <c r="E1091" s="9" t="s">
        <v>4142</v>
      </c>
      <c r="F1091" s="11" t="s">
        <v>4143</v>
      </c>
      <c r="G1091" s="9" t="s">
        <v>4144</v>
      </c>
      <c r="H1091" s="9"/>
    </row>
    <row r="1092" spans="1:8" ht="15" customHeight="1" x14ac:dyDescent="0.3">
      <c r="A1092" s="9" t="s">
        <v>3339</v>
      </c>
      <c r="B1092" s="9">
        <v>0</v>
      </c>
      <c r="C1092" s="9" t="s">
        <v>3928</v>
      </c>
      <c r="D1092" s="9" t="s">
        <v>3715</v>
      </c>
      <c r="E1092" s="9" t="s">
        <v>4142</v>
      </c>
      <c r="F1092" s="11" t="s">
        <v>4143</v>
      </c>
      <c r="G1092" s="9" t="s">
        <v>4144</v>
      </c>
      <c r="H1092" s="9"/>
    </row>
    <row r="1093" spans="1:8" ht="15" customHeight="1" x14ac:dyDescent="0.3">
      <c r="A1093" s="9" t="s">
        <v>3339</v>
      </c>
      <c r="B1093" s="9">
        <v>0</v>
      </c>
      <c r="C1093" s="9" t="s">
        <v>3929</v>
      </c>
      <c r="D1093" s="9" t="s">
        <v>3716</v>
      </c>
      <c r="E1093" s="9" t="s">
        <v>4142</v>
      </c>
      <c r="F1093" s="11" t="s">
        <v>4143</v>
      </c>
      <c r="G1093" s="9" t="s">
        <v>4144</v>
      </c>
      <c r="H1093" s="9"/>
    </row>
    <row r="1094" spans="1:8" ht="15" customHeight="1" x14ac:dyDescent="0.3">
      <c r="A1094" s="9" t="s">
        <v>3339</v>
      </c>
      <c r="B1094" s="9">
        <v>0</v>
      </c>
      <c r="C1094" s="9" t="s">
        <v>3930</v>
      </c>
      <c r="D1094" s="9" t="s">
        <v>3717</v>
      </c>
      <c r="E1094" s="9" t="s">
        <v>4142</v>
      </c>
      <c r="F1094" s="11" t="s">
        <v>4143</v>
      </c>
      <c r="G1094" s="9" t="s">
        <v>4144</v>
      </c>
      <c r="H1094" s="9"/>
    </row>
    <row r="1095" spans="1:8" ht="15" customHeight="1" x14ac:dyDescent="0.3">
      <c r="A1095" s="9" t="s">
        <v>3340</v>
      </c>
      <c r="B1095" s="9">
        <v>0</v>
      </c>
      <c r="C1095" s="9" t="s">
        <v>3931</v>
      </c>
      <c r="D1095" s="9" t="s">
        <v>3718</v>
      </c>
      <c r="E1095" s="9" t="s">
        <v>4142</v>
      </c>
      <c r="F1095" s="11" t="s">
        <v>4143</v>
      </c>
      <c r="G1095" s="9" t="s">
        <v>4144</v>
      </c>
      <c r="H1095" s="9"/>
    </row>
    <row r="1096" spans="1:8" ht="15" customHeight="1" x14ac:dyDescent="0.3">
      <c r="A1096" s="9" t="s">
        <v>3340</v>
      </c>
      <c r="B1096" s="9">
        <v>0</v>
      </c>
      <c r="C1096" s="9" t="s">
        <v>3932</v>
      </c>
      <c r="D1096" s="9" t="s">
        <v>3719</v>
      </c>
      <c r="E1096" s="9" t="s">
        <v>4142</v>
      </c>
      <c r="F1096" s="11" t="s">
        <v>4143</v>
      </c>
      <c r="G1096" s="9" t="s">
        <v>4144</v>
      </c>
      <c r="H1096" s="9"/>
    </row>
    <row r="1097" spans="1:8" ht="15" customHeight="1" x14ac:dyDescent="0.3">
      <c r="A1097" s="9" t="s">
        <v>3340</v>
      </c>
      <c r="B1097" s="9">
        <v>0</v>
      </c>
      <c r="C1097" s="9" t="s">
        <v>3933</v>
      </c>
      <c r="D1097" s="9" t="s">
        <v>3720</v>
      </c>
      <c r="E1097" s="9" t="s">
        <v>4142</v>
      </c>
      <c r="F1097" s="11" t="s">
        <v>4143</v>
      </c>
      <c r="G1097" s="9" t="s">
        <v>4144</v>
      </c>
      <c r="H1097" s="9"/>
    </row>
    <row r="1098" spans="1:8" ht="15" customHeight="1" x14ac:dyDescent="0.3">
      <c r="A1098" s="9" t="s">
        <v>3340</v>
      </c>
      <c r="B1098" s="9">
        <v>0</v>
      </c>
      <c r="C1098" s="9" t="s">
        <v>3934</v>
      </c>
      <c r="D1098" s="9" t="s">
        <v>3721</v>
      </c>
      <c r="E1098" s="9" t="s">
        <v>4142</v>
      </c>
      <c r="F1098" s="11" t="s">
        <v>4143</v>
      </c>
      <c r="G1098" s="9" t="s">
        <v>4144</v>
      </c>
      <c r="H1098" s="9"/>
    </row>
    <row r="1099" spans="1:8" ht="15" customHeight="1" x14ac:dyDescent="0.3">
      <c r="A1099" s="9" t="s">
        <v>3341</v>
      </c>
      <c r="B1099" s="9">
        <v>0</v>
      </c>
      <c r="C1099" s="9" t="s">
        <v>3935</v>
      </c>
      <c r="D1099" s="9" t="s">
        <v>3722</v>
      </c>
      <c r="E1099" s="9" t="s">
        <v>4142</v>
      </c>
      <c r="F1099" s="11" t="s">
        <v>4143</v>
      </c>
      <c r="G1099" s="9" t="s">
        <v>4144</v>
      </c>
      <c r="H1099" s="9"/>
    </row>
    <row r="1100" spans="1:8" ht="15" customHeight="1" x14ac:dyDescent="0.3">
      <c r="A1100" s="9" t="s">
        <v>3341</v>
      </c>
      <c r="B1100" s="9">
        <v>0</v>
      </c>
      <c r="C1100" s="9" t="s">
        <v>3936</v>
      </c>
      <c r="D1100" s="9" t="s">
        <v>3723</v>
      </c>
      <c r="E1100" s="9" t="s">
        <v>4142</v>
      </c>
      <c r="F1100" s="11" t="s">
        <v>4143</v>
      </c>
      <c r="G1100" s="9" t="s">
        <v>4144</v>
      </c>
      <c r="H1100" s="9"/>
    </row>
    <row r="1101" spans="1:8" ht="15" customHeight="1" x14ac:dyDescent="0.3">
      <c r="A1101" s="9" t="s">
        <v>3341</v>
      </c>
      <c r="B1101" s="9">
        <v>0</v>
      </c>
      <c r="C1101" s="9" t="s">
        <v>3937</v>
      </c>
      <c r="D1101" s="9" t="s">
        <v>3724</v>
      </c>
      <c r="E1101" s="9" t="s">
        <v>4142</v>
      </c>
      <c r="F1101" s="11" t="s">
        <v>4143</v>
      </c>
      <c r="G1101" s="9" t="s">
        <v>4144</v>
      </c>
      <c r="H1101" s="9"/>
    </row>
    <row r="1102" spans="1:8" ht="15" customHeight="1" x14ac:dyDescent="0.3">
      <c r="A1102" s="9" t="s">
        <v>3341</v>
      </c>
      <c r="B1102" s="9">
        <v>0</v>
      </c>
      <c r="C1102" s="9" t="s">
        <v>3938</v>
      </c>
      <c r="D1102" s="9" t="s">
        <v>3725</v>
      </c>
      <c r="E1102" s="9" t="s">
        <v>4142</v>
      </c>
      <c r="F1102" s="11" t="s">
        <v>4143</v>
      </c>
      <c r="G1102" s="9" t="s">
        <v>4144</v>
      </c>
      <c r="H1102" s="9"/>
    </row>
    <row r="1103" spans="1:8" ht="15" customHeight="1" x14ac:dyDescent="0.3">
      <c r="A1103" s="9" t="s">
        <v>3341</v>
      </c>
      <c r="B1103" s="9">
        <v>0</v>
      </c>
      <c r="C1103" s="9" t="s">
        <v>3939</v>
      </c>
      <c r="D1103" s="9" t="s">
        <v>3726</v>
      </c>
      <c r="E1103" s="9" t="s">
        <v>4142</v>
      </c>
      <c r="F1103" s="11" t="s">
        <v>4143</v>
      </c>
      <c r="G1103" s="9" t="s">
        <v>4144</v>
      </c>
      <c r="H1103" s="9"/>
    </row>
    <row r="1104" spans="1:8" ht="15" customHeight="1" x14ac:dyDescent="0.3">
      <c r="A1104" s="9" t="s">
        <v>3341</v>
      </c>
      <c r="B1104" s="9">
        <v>0</v>
      </c>
      <c r="C1104" s="9" t="s">
        <v>3940</v>
      </c>
      <c r="D1104" s="9" t="s">
        <v>3727</v>
      </c>
      <c r="E1104" s="9" t="s">
        <v>4142</v>
      </c>
      <c r="F1104" s="11" t="s">
        <v>4143</v>
      </c>
      <c r="G1104" s="9" t="s">
        <v>4144</v>
      </c>
      <c r="H1104" s="9"/>
    </row>
    <row r="1105" spans="1:8" ht="15" customHeight="1" x14ac:dyDescent="0.3">
      <c r="A1105" s="9" t="s">
        <v>3341</v>
      </c>
      <c r="B1105" s="9">
        <v>0</v>
      </c>
      <c r="C1105" s="9" t="s">
        <v>3941</v>
      </c>
      <c r="D1105" s="9" t="s">
        <v>3728</v>
      </c>
      <c r="E1105" s="9" t="s">
        <v>4142</v>
      </c>
      <c r="F1105" s="11" t="s">
        <v>4143</v>
      </c>
      <c r="G1105" s="9" t="s">
        <v>4144</v>
      </c>
      <c r="H1105" s="9"/>
    </row>
    <row r="1106" spans="1:8" ht="15" customHeight="1" x14ac:dyDescent="0.3">
      <c r="A1106" s="9" t="s">
        <v>3341</v>
      </c>
      <c r="B1106" s="9">
        <v>0</v>
      </c>
      <c r="C1106" s="9" t="s">
        <v>3942</v>
      </c>
      <c r="D1106" s="9" t="s">
        <v>3729</v>
      </c>
      <c r="E1106" s="9" t="s">
        <v>4142</v>
      </c>
      <c r="F1106" s="11" t="s">
        <v>4143</v>
      </c>
      <c r="G1106" s="9" t="s">
        <v>4144</v>
      </c>
      <c r="H1106" s="9"/>
    </row>
    <row r="1107" spans="1:8" ht="15" customHeight="1" x14ac:dyDescent="0.3">
      <c r="A1107" s="9" t="s">
        <v>3341</v>
      </c>
      <c r="B1107" s="9">
        <v>0</v>
      </c>
      <c r="C1107" s="9" t="s">
        <v>3943</v>
      </c>
      <c r="D1107" s="9" t="s">
        <v>3730</v>
      </c>
      <c r="E1107" s="9" t="s">
        <v>4142</v>
      </c>
      <c r="F1107" s="11" t="s">
        <v>4143</v>
      </c>
      <c r="G1107" s="9" t="s">
        <v>4144</v>
      </c>
      <c r="H1107" s="9"/>
    </row>
    <row r="1108" spans="1:8" ht="15" customHeight="1" x14ac:dyDescent="0.3">
      <c r="A1108" s="9" t="s">
        <v>3341</v>
      </c>
      <c r="B1108" s="9">
        <v>0</v>
      </c>
      <c r="C1108" s="9" t="s">
        <v>3944</v>
      </c>
      <c r="D1108" s="9" t="s">
        <v>3731</v>
      </c>
      <c r="E1108" s="9" t="s">
        <v>4142</v>
      </c>
      <c r="F1108" s="11" t="s">
        <v>4143</v>
      </c>
      <c r="G1108" s="9" t="s">
        <v>4144</v>
      </c>
      <c r="H1108" s="9"/>
    </row>
    <row r="1109" spans="1:8" ht="15" customHeight="1" x14ac:dyDescent="0.3">
      <c r="A1109" s="9" t="s">
        <v>3341</v>
      </c>
      <c r="B1109" s="9">
        <v>0</v>
      </c>
      <c r="C1109" s="9" t="s">
        <v>3945</v>
      </c>
      <c r="D1109" s="9" t="s">
        <v>3732</v>
      </c>
      <c r="E1109" s="9" t="s">
        <v>4142</v>
      </c>
      <c r="F1109" s="11" t="s">
        <v>4143</v>
      </c>
      <c r="G1109" s="9" t="s">
        <v>4144</v>
      </c>
      <c r="H1109" s="9"/>
    </row>
    <row r="1110" spans="1:8" ht="15" customHeight="1" x14ac:dyDescent="0.3">
      <c r="A1110" s="9" t="s">
        <v>3341</v>
      </c>
      <c r="B1110" s="9">
        <v>0</v>
      </c>
      <c r="C1110" s="9" t="s">
        <v>3946</v>
      </c>
      <c r="D1110" s="9" t="s">
        <v>3733</v>
      </c>
      <c r="E1110" s="9" t="s">
        <v>4142</v>
      </c>
      <c r="F1110" s="11" t="s">
        <v>4143</v>
      </c>
      <c r="G1110" s="9" t="s">
        <v>4144</v>
      </c>
      <c r="H1110" s="9"/>
    </row>
    <row r="1111" spans="1:8" ht="15" customHeight="1" x14ac:dyDescent="0.3">
      <c r="A1111" s="9" t="s">
        <v>3341</v>
      </c>
      <c r="B1111" s="9">
        <v>0</v>
      </c>
      <c r="C1111" s="9" t="s">
        <v>3947</v>
      </c>
      <c r="D1111" s="9" t="s">
        <v>3734</v>
      </c>
      <c r="E1111" s="9" t="s">
        <v>4142</v>
      </c>
      <c r="F1111" s="11" t="s">
        <v>4143</v>
      </c>
      <c r="G1111" s="9" t="s">
        <v>4144</v>
      </c>
      <c r="H1111" s="9"/>
    </row>
    <row r="1112" spans="1:8" ht="15" customHeight="1" x14ac:dyDescent="0.3">
      <c r="A1112" s="9" t="s">
        <v>3341</v>
      </c>
      <c r="B1112" s="9">
        <v>0</v>
      </c>
      <c r="C1112" s="9" t="s">
        <v>3948</v>
      </c>
      <c r="D1112" s="9" t="s">
        <v>3735</v>
      </c>
      <c r="E1112" s="9" t="s">
        <v>4142</v>
      </c>
      <c r="F1112" s="11" t="s">
        <v>4143</v>
      </c>
      <c r="G1112" s="9" t="s">
        <v>4144</v>
      </c>
      <c r="H1112" s="9"/>
    </row>
    <row r="1113" spans="1:8" ht="15" customHeight="1" x14ac:dyDescent="0.3">
      <c r="A1113" s="9" t="s">
        <v>3341</v>
      </c>
      <c r="B1113" s="9">
        <v>0</v>
      </c>
      <c r="C1113" s="9" t="s">
        <v>3949</v>
      </c>
      <c r="D1113" s="9" t="s">
        <v>3736</v>
      </c>
      <c r="E1113" s="9" t="s">
        <v>4142</v>
      </c>
      <c r="F1113" s="11" t="s">
        <v>4143</v>
      </c>
      <c r="G1113" s="9" t="s">
        <v>4144</v>
      </c>
      <c r="H1113" s="9"/>
    </row>
    <row r="1114" spans="1:8" ht="15" customHeight="1" x14ac:dyDescent="0.3">
      <c r="A1114" s="9" t="s">
        <v>3341</v>
      </c>
      <c r="B1114" s="9">
        <v>0</v>
      </c>
      <c r="C1114" s="9" t="s">
        <v>3950</v>
      </c>
      <c r="D1114" s="9" t="s">
        <v>3737</v>
      </c>
      <c r="E1114" s="9" t="s">
        <v>4142</v>
      </c>
      <c r="F1114" s="11" t="s">
        <v>4143</v>
      </c>
      <c r="G1114" s="9" t="s">
        <v>4144</v>
      </c>
      <c r="H1114" s="9"/>
    </row>
    <row r="1115" spans="1:8" ht="15" customHeight="1" x14ac:dyDescent="0.3">
      <c r="A1115" s="9" t="s">
        <v>3341</v>
      </c>
      <c r="B1115" s="9">
        <v>0</v>
      </c>
      <c r="C1115" s="9" t="s">
        <v>3951</v>
      </c>
      <c r="D1115" s="9" t="s">
        <v>3738</v>
      </c>
      <c r="E1115" s="9" t="s">
        <v>4142</v>
      </c>
      <c r="F1115" s="11" t="s">
        <v>4143</v>
      </c>
      <c r="G1115" s="9" t="s">
        <v>4144</v>
      </c>
      <c r="H1115" s="9"/>
    </row>
    <row r="1116" spans="1:8" ht="15" customHeight="1" x14ac:dyDescent="0.3">
      <c r="A1116" s="9" t="s">
        <v>3341</v>
      </c>
      <c r="B1116" s="9">
        <v>0</v>
      </c>
      <c r="C1116" s="9" t="s">
        <v>3952</v>
      </c>
      <c r="D1116" s="9" t="s">
        <v>3739</v>
      </c>
      <c r="E1116" s="9" t="s">
        <v>4142</v>
      </c>
      <c r="F1116" s="11" t="s">
        <v>4143</v>
      </c>
      <c r="G1116" s="9" t="s">
        <v>4144</v>
      </c>
      <c r="H1116" s="9"/>
    </row>
    <row r="1117" spans="1:8" ht="15" customHeight="1" x14ac:dyDescent="0.3">
      <c r="A1117" s="9" t="s">
        <v>3341</v>
      </c>
      <c r="B1117" s="9">
        <v>0</v>
      </c>
      <c r="C1117" s="9" t="s">
        <v>3953</v>
      </c>
      <c r="D1117" s="9" t="s">
        <v>3740</v>
      </c>
      <c r="E1117" s="9" t="s">
        <v>4142</v>
      </c>
      <c r="F1117" s="11" t="s">
        <v>4143</v>
      </c>
      <c r="G1117" s="9" t="s">
        <v>4144</v>
      </c>
      <c r="H1117" s="9"/>
    </row>
    <row r="1118" spans="1:8" ht="15" customHeight="1" x14ac:dyDescent="0.3">
      <c r="A1118" s="9" t="s">
        <v>3341</v>
      </c>
      <c r="B1118" s="9">
        <v>0</v>
      </c>
      <c r="C1118" s="9" t="s">
        <v>3954</v>
      </c>
      <c r="D1118" s="9" t="s">
        <v>3741</v>
      </c>
      <c r="E1118" s="9" t="s">
        <v>4142</v>
      </c>
      <c r="F1118" s="11" t="s">
        <v>4143</v>
      </c>
      <c r="G1118" s="9" t="s">
        <v>4144</v>
      </c>
      <c r="H1118" s="9"/>
    </row>
    <row r="1119" spans="1:8" ht="15" customHeight="1" x14ac:dyDescent="0.3">
      <c r="A1119" s="9" t="s">
        <v>3341</v>
      </c>
      <c r="B1119" s="9">
        <v>0</v>
      </c>
      <c r="C1119" s="9" t="s">
        <v>3955</v>
      </c>
      <c r="D1119" s="9" t="s">
        <v>3742</v>
      </c>
      <c r="E1119" s="9" t="s">
        <v>4142</v>
      </c>
      <c r="F1119" s="11" t="s">
        <v>4143</v>
      </c>
      <c r="G1119" s="9" t="s">
        <v>4144</v>
      </c>
      <c r="H1119" s="9"/>
    </row>
    <row r="1120" spans="1:8" ht="15" customHeight="1" x14ac:dyDescent="0.3">
      <c r="A1120" s="9" t="s">
        <v>3341</v>
      </c>
      <c r="B1120" s="9">
        <v>0</v>
      </c>
      <c r="C1120" s="9" t="s">
        <v>3956</v>
      </c>
      <c r="D1120" s="9" t="s">
        <v>3743</v>
      </c>
      <c r="E1120" s="9" t="s">
        <v>4142</v>
      </c>
      <c r="F1120" s="11" t="s">
        <v>4143</v>
      </c>
      <c r="G1120" s="9" t="s">
        <v>4144</v>
      </c>
      <c r="H1120" s="9"/>
    </row>
    <row r="1121" spans="1:8" ht="15" customHeight="1" x14ac:dyDescent="0.3">
      <c r="A1121" s="9" t="s">
        <v>3341</v>
      </c>
      <c r="B1121" s="9">
        <v>0</v>
      </c>
      <c r="C1121" s="9" t="s">
        <v>3957</v>
      </c>
      <c r="D1121" s="9" t="s">
        <v>3744</v>
      </c>
      <c r="E1121" s="9" t="s">
        <v>4142</v>
      </c>
      <c r="F1121" s="11" t="s">
        <v>4143</v>
      </c>
      <c r="G1121" s="9" t="s">
        <v>4144</v>
      </c>
      <c r="H1121" s="9"/>
    </row>
    <row r="1122" spans="1:8" ht="15" customHeight="1" x14ac:dyDescent="0.3">
      <c r="A1122" s="9" t="s">
        <v>3341</v>
      </c>
      <c r="B1122" s="9">
        <v>0</v>
      </c>
      <c r="C1122" s="9" t="s">
        <v>3958</v>
      </c>
      <c r="D1122" s="9" t="s">
        <v>3745</v>
      </c>
      <c r="E1122" s="9" t="s">
        <v>4142</v>
      </c>
      <c r="F1122" s="11" t="s">
        <v>4143</v>
      </c>
      <c r="G1122" s="9" t="s">
        <v>4144</v>
      </c>
      <c r="H1122" s="9"/>
    </row>
    <row r="1123" spans="1:8" ht="15" customHeight="1" x14ac:dyDescent="0.3">
      <c r="A1123" s="9" t="s">
        <v>3341</v>
      </c>
      <c r="B1123" s="9">
        <v>0</v>
      </c>
      <c r="C1123" s="9" t="s">
        <v>3959</v>
      </c>
      <c r="D1123" s="9" t="s">
        <v>3746</v>
      </c>
      <c r="E1123" s="9" t="s">
        <v>4142</v>
      </c>
      <c r="F1123" s="11" t="s">
        <v>4143</v>
      </c>
      <c r="G1123" s="9" t="s">
        <v>4144</v>
      </c>
      <c r="H1123" s="9"/>
    </row>
    <row r="1124" spans="1:8" ht="15" customHeight="1" x14ac:dyDescent="0.3">
      <c r="A1124" s="9" t="s">
        <v>3341</v>
      </c>
      <c r="B1124" s="9">
        <v>0</v>
      </c>
      <c r="C1124" s="9" t="s">
        <v>3960</v>
      </c>
      <c r="D1124" s="9" t="s">
        <v>3747</v>
      </c>
      <c r="E1124" s="9" t="s">
        <v>4142</v>
      </c>
      <c r="F1124" s="11" t="s">
        <v>4143</v>
      </c>
      <c r="G1124" s="9" t="s">
        <v>4144</v>
      </c>
      <c r="H1124" s="9"/>
    </row>
    <row r="1125" spans="1:8" ht="15" customHeight="1" x14ac:dyDescent="0.3">
      <c r="A1125" s="9" t="s">
        <v>3341</v>
      </c>
      <c r="B1125" s="9">
        <v>0</v>
      </c>
      <c r="C1125" s="9" t="s">
        <v>3961</v>
      </c>
      <c r="D1125" s="9" t="s">
        <v>3748</v>
      </c>
      <c r="E1125" s="9" t="s">
        <v>4142</v>
      </c>
      <c r="F1125" s="11" t="s">
        <v>4143</v>
      </c>
      <c r="G1125" s="9" t="s">
        <v>4144</v>
      </c>
      <c r="H1125" s="9"/>
    </row>
    <row r="1126" spans="1:8" ht="15" customHeight="1" x14ac:dyDescent="0.3">
      <c r="A1126" s="9" t="s">
        <v>3341</v>
      </c>
      <c r="B1126" s="9">
        <v>0</v>
      </c>
      <c r="C1126" s="9" t="s">
        <v>3962</v>
      </c>
      <c r="D1126" s="9" t="s">
        <v>3749</v>
      </c>
      <c r="E1126" s="9" t="s">
        <v>4142</v>
      </c>
      <c r="F1126" s="11" t="s">
        <v>4143</v>
      </c>
      <c r="G1126" s="9" t="s">
        <v>4144</v>
      </c>
      <c r="H1126" s="9"/>
    </row>
    <row r="1127" spans="1:8" ht="15" customHeight="1" x14ac:dyDescent="0.3">
      <c r="A1127" s="9" t="s">
        <v>3342</v>
      </c>
      <c r="B1127" s="9">
        <v>0</v>
      </c>
      <c r="C1127" s="9" t="s">
        <v>3963</v>
      </c>
      <c r="D1127" s="9" t="s">
        <v>3750</v>
      </c>
      <c r="E1127" s="9" t="s">
        <v>4142</v>
      </c>
      <c r="F1127" s="11" t="s">
        <v>4143</v>
      </c>
      <c r="G1127" s="9" t="s">
        <v>4144</v>
      </c>
      <c r="H1127" s="9"/>
    </row>
    <row r="1128" spans="1:8" ht="15" customHeight="1" x14ac:dyDescent="0.3">
      <c r="A1128" s="9" t="s">
        <v>3343</v>
      </c>
      <c r="B1128" s="9">
        <v>0</v>
      </c>
      <c r="C1128" s="9" t="s">
        <v>3964</v>
      </c>
      <c r="D1128" s="9" t="s">
        <v>3751</v>
      </c>
      <c r="E1128" s="9" t="s">
        <v>4142</v>
      </c>
      <c r="F1128" s="11" t="s">
        <v>4143</v>
      </c>
      <c r="G1128" s="9" t="s">
        <v>4144</v>
      </c>
      <c r="H1128" s="9"/>
    </row>
    <row r="1129" spans="1:8" ht="15" customHeight="1" x14ac:dyDescent="0.3">
      <c r="A1129" s="9" t="s">
        <v>3343</v>
      </c>
      <c r="B1129" s="9">
        <v>0</v>
      </c>
      <c r="C1129" s="9" t="s">
        <v>3965</v>
      </c>
      <c r="D1129" s="9" t="s">
        <v>3752</v>
      </c>
      <c r="E1129" s="9" t="s">
        <v>4142</v>
      </c>
      <c r="F1129" s="11" t="s">
        <v>4143</v>
      </c>
      <c r="G1129" s="9" t="s">
        <v>4144</v>
      </c>
      <c r="H1129" s="9"/>
    </row>
    <row r="1130" spans="1:8" ht="15" customHeight="1" x14ac:dyDescent="0.3">
      <c r="A1130" s="9" t="s">
        <v>3343</v>
      </c>
      <c r="B1130" s="9">
        <v>0</v>
      </c>
      <c r="C1130" s="9" t="s">
        <v>3966</v>
      </c>
      <c r="D1130" s="9" t="s">
        <v>3753</v>
      </c>
      <c r="E1130" s="9" t="s">
        <v>4142</v>
      </c>
      <c r="F1130" s="11" t="s">
        <v>4143</v>
      </c>
      <c r="G1130" s="9" t="s">
        <v>4144</v>
      </c>
      <c r="H1130" s="9"/>
    </row>
    <row r="1131" spans="1:8" ht="15" customHeight="1" x14ac:dyDescent="0.3">
      <c r="A1131" s="9" t="s">
        <v>3344</v>
      </c>
      <c r="B1131" s="9">
        <v>0</v>
      </c>
      <c r="C1131" s="9" t="s">
        <v>3967</v>
      </c>
      <c r="D1131" s="9" t="s">
        <v>3754</v>
      </c>
      <c r="E1131" s="9" t="s">
        <v>4142</v>
      </c>
      <c r="F1131" s="11" t="s">
        <v>4143</v>
      </c>
      <c r="G1131" s="9" t="s">
        <v>4144</v>
      </c>
      <c r="H1131" s="9"/>
    </row>
    <row r="1132" spans="1:8" ht="15" customHeight="1" x14ac:dyDescent="0.3">
      <c r="A1132" s="9" t="s">
        <v>3344</v>
      </c>
      <c r="B1132" s="9">
        <v>0</v>
      </c>
      <c r="C1132" s="9" t="s">
        <v>3968</v>
      </c>
      <c r="D1132" s="9" t="s">
        <v>3755</v>
      </c>
      <c r="E1132" s="9" t="s">
        <v>4142</v>
      </c>
      <c r="F1132" s="11" t="s">
        <v>4143</v>
      </c>
      <c r="G1132" s="9" t="s">
        <v>4144</v>
      </c>
      <c r="H1132" s="9"/>
    </row>
    <row r="1133" spans="1:8" ht="15" customHeight="1" x14ac:dyDescent="0.3">
      <c r="A1133" s="9" t="s">
        <v>3344</v>
      </c>
      <c r="B1133" s="9">
        <v>0</v>
      </c>
      <c r="C1133" s="9" t="s">
        <v>3969</v>
      </c>
      <c r="D1133" s="9" t="s">
        <v>3756</v>
      </c>
      <c r="E1133" s="9" t="s">
        <v>4142</v>
      </c>
      <c r="F1133" s="11" t="s">
        <v>4143</v>
      </c>
      <c r="G1133" s="9" t="s">
        <v>4144</v>
      </c>
      <c r="H1133" s="9"/>
    </row>
    <row r="1134" spans="1:8" ht="15" customHeight="1" x14ac:dyDescent="0.3">
      <c r="A1134" s="9" t="s">
        <v>3344</v>
      </c>
      <c r="B1134" s="9">
        <v>0</v>
      </c>
      <c r="C1134" s="9" t="s">
        <v>3970</v>
      </c>
      <c r="D1134" s="9" t="s">
        <v>3757</v>
      </c>
      <c r="E1134" s="9" t="s">
        <v>4142</v>
      </c>
      <c r="F1134" s="11" t="s">
        <v>4143</v>
      </c>
      <c r="G1134" s="9" t="s">
        <v>4144</v>
      </c>
      <c r="H1134" s="9"/>
    </row>
    <row r="1135" spans="1:8" ht="15" customHeight="1" x14ac:dyDescent="0.3">
      <c r="A1135" s="9" t="s">
        <v>3344</v>
      </c>
      <c r="B1135" s="9">
        <v>0</v>
      </c>
      <c r="C1135" s="9" t="s">
        <v>3971</v>
      </c>
      <c r="D1135" s="9" t="s">
        <v>3758</v>
      </c>
      <c r="E1135" s="9" t="s">
        <v>4142</v>
      </c>
      <c r="F1135" s="11" t="s">
        <v>4143</v>
      </c>
      <c r="G1135" s="9" t="s">
        <v>4144</v>
      </c>
      <c r="H1135" s="9"/>
    </row>
    <row r="1136" spans="1:8" ht="15" customHeight="1" x14ac:dyDescent="0.3">
      <c r="A1136" s="9" t="s">
        <v>3344</v>
      </c>
      <c r="B1136" s="9">
        <v>0</v>
      </c>
      <c r="C1136" s="9" t="s">
        <v>3972</v>
      </c>
      <c r="D1136" s="9" t="s">
        <v>3759</v>
      </c>
      <c r="E1136" s="9" t="s">
        <v>4142</v>
      </c>
      <c r="F1136" s="11" t="s">
        <v>4143</v>
      </c>
      <c r="G1136" s="9" t="s">
        <v>4144</v>
      </c>
      <c r="H1136" s="9"/>
    </row>
    <row r="1137" spans="1:8" ht="15" customHeight="1" x14ac:dyDescent="0.3">
      <c r="A1137" s="9" t="s">
        <v>3344</v>
      </c>
      <c r="B1137" s="9">
        <v>0</v>
      </c>
      <c r="C1137" s="9" t="s">
        <v>3973</v>
      </c>
      <c r="D1137" s="9" t="s">
        <v>3760</v>
      </c>
      <c r="E1137" s="9" t="s">
        <v>4142</v>
      </c>
      <c r="F1137" s="11" t="s">
        <v>4143</v>
      </c>
      <c r="G1137" s="9" t="s">
        <v>4144</v>
      </c>
      <c r="H1137" s="9"/>
    </row>
    <row r="1138" spans="1:8" ht="15" customHeight="1" x14ac:dyDescent="0.3">
      <c r="A1138" s="9" t="s">
        <v>3344</v>
      </c>
      <c r="B1138" s="9">
        <v>0</v>
      </c>
      <c r="C1138" s="9" t="s">
        <v>3974</v>
      </c>
      <c r="D1138" s="9" t="s">
        <v>3761</v>
      </c>
      <c r="E1138" s="9" t="s">
        <v>4142</v>
      </c>
      <c r="F1138" s="11" t="s">
        <v>4143</v>
      </c>
      <c r="G1138" s="9" t="s">
        <v>4144</v>
      </c>
      <c r="H1138" s="9"/>
    </row>
    <row r="1139" spans="1:8" ht="15" customHeight="1" x14ac:dyDescent="0.3">
      <c r="A1139" s="9" t="s">
        <v>3344</v>
      </c>
      <c r="B1139" s="9">
        <v>0</v>
      </c>
      <c r="C1139" s="9" t="s">
        <v>3975</v>
      </c>
      <c r="D1139" s="9" t="s">
        <v>3762</v>
      </c>
      <c r="E1139" s="9" t="s">
        <v>4142</v>
      </c>
      <c r="F1139" s="11" t="s">
        <v>4143</v>
      </c>
      <c r="G1139" s="9" t="s">
        <v>4144</v>
      </c>
      <c r="H1139" s="9"/>
    </row>
    <row r="1140" spans="1:8" ht="15" customHeight="1" x14ac:dyDescent="0.3">
      <c r="A1140" s="9" t="s">
        <v>3344</v>
      </c>
      <c r="B1140" s="9">
        <v>0</v>
      </c>
      <c r="C1140" s="9" t="s">
        <v>3976</v>
      </c>
      <c r="D1140" s="9" t="s">
        <v>3763</v>
      </c>
      <c r="E1140" s="9" t="s">
        <v>4142</v>
      </c>
      <c r="F1140" s="11" t="s">
        <v>4143</v>
      </c>
      <c r="G1140" s="9" t="s">
        <v>4144</v>
      </c>
      <c r="H1140" s="9"/>
    </row>
    <row r="1141" spans="1:8" ht="15" customHeight="1" x14ac:dyDescent="0.3">
      <c r="A1141" s="9" t="s">
        <v>3344</v>
      </c>
      <c r="B1141" s="9">
        <v>0</v>
      </c>
      <c r="C1141" s="9" t="s">
        <v>3977</v>
      </c>
      <c r="D1141" s="9" t="s">
        <v>3764</v>
      </c>
      <c r="E1141" s="9" t="s">
        <v>4142</v>
      </c>
      <c r="F1141" s="11" t="s">
        <v>4143</v>
      </c>
      <c r="G1141" s="9" t="s">
        <v>4144</v>
      </c>
      <c r="H1141" s="9"/>
    </row>
    <row r="1142" spans="1:8" ht="15" customHeight="1" x14ac:dyDescent="0.3">
      <c r="A1142" s="9" t="s">
        <v>3344</v>
      </c>
      <c r="B1142" s="9">
        <v>0</v>
      </c>
      <c r="C1142" s="9" t="s">
        <v>3978</v>
      </c>
      <c r="D1142" s="9" t="s">
        <v>3765</v>
      </c>
      <c r="E1142" s="9" t="s">
        <v>4142</v>
      </c>
      <c r="F1142" s="11" t="s">
        <v>4143</v>
      </c>
      <c r="G1142" s="9" t="s">
        <v>4144</v>
      </c>
      <c r="H1142" s="9"/>
    </row>
    <row r="1143" spans="1:8" ht="15" customHeight="1" x14ac:dyDescent="0.3">
      <c r="A1143" s="9" t="s">
        <v>3344</v>
      </c>
      <c r="B1143" s="9">
        <v>0</v>
      </c>
      <c r="C1143" s="9" t="s">
        <v>3979</v>
      </c>
      <c r="D1143" s="9" t="s">
        <v>3766</v>
      </c>
      <c r="E1143" s="9" t="s">
        <v>4142</v>
      </c>
      <c r="F1143" s="11" t="s">
        <v>4143</v>
      </c>
      <c r="G1143" s="9" t="s">
        <v>4144</v>
      </c>
      <c r="H1143" s="9"/>
    </row>
    <row r="1144" spans="1:8" ht="15" customHeight="1" x14ac:dyDescent="0.3">
      <c r="A1144" s="9" t="s">
        <v>3344</v>
      </c>
      <c r="B1144" s="9">
        <v>0</v>
      </c>
      <c r="C1144" s="9" t="s">
        <v>3980</v>
      </c>
      <c r="D1144" s="9" t="s">
        <v>3767</v>
      </c>
      <c r="E1144" s="9" t="s">
        <v>4142</v>
      </c>
      <c r="F1144" s="11" t="s">
        <v>4143</v>
      </c>
      <c r="G1144" s="9" t="s">
        <v>4144</v>
      </c>
      <c r="H1144" s="9"/>
    </row>
    <row r="1145" spans="1:8" ht="15" customHeight="1" x14ac:dyDescent="0.3">
      <c r="A1145" s="9" t="s">
        <v>3344</v>
      </c>
      <c r="B1145" s="9">
        <v>0</v>
      </c>
      <c r="C1145" s="9" t="s">
        <v>3981</v>
      </c>
      <c r="D1145" s="9" t="s">
        <v>3768</v>
      </c>
      <c r="E1145" s="9" t="s">
        <v>4142</v>
      </c>
      <c r="F1145" s="11" t="s">
        <v>4143</v>
      </c>
      <c r="G1145" s="9" t="s">
        <v>4144</v>
      </c>
      <c r="H1145" s="9"/>
    </row>
    <row r="1146" spans="1:8" ht="15" customHeight="1" x14ac:dyDescent="0.3">
      <c r="A1146" s="9" t="s">
        <v>3344</v>
      </c>
      <c r="B1146" s="9">
        <v>0</v>
      </c>
      <c r="C1146" s="9" t="s">
        <v>3982</v>
      </c>
      <c r="D1146" s="9" t="s">
        <v>3769</v>
      </c>
      <c r="E1146" s="9" t="s">
        <v>4142</v>
      </c>
      <c r="F1146" s="11" t="s">
        <v>4143</v>
      </c>
      <c r="G1146" s="9" t="s">
        <v>4144</v>
      </c>
      <c r="H1146" s="9"/>
    </row>
    <row r="1147" spans="1:8" ht="15" customHeight="1" x14ac:dyDescent="0.3">
      <c r="A1147" s="9" t="s">
        <v>3344</v>
      </c>
      <c r="B1147" s="9">
        <v>0</v>
      </c>
      <c r="C1147" s="9" t="s">
        <v>3983</v>
      </c>
      <c r="D1147" s="9" t="s">
        <v>3770</v>
      </c>
      <c r="E1147" s="9" t="s">
        <v>4142</v>
      </c>
      <c r="F1147" s="11" t="s">
        <v>4143</v>
      </c>
      <c r="G1147" s="9" t="s">
        <v>4144</v>
      </c>
      <c r="H1147" s="9"/>
    </row>
  </sheetData>
  <sheetProtection formatColumns="0" formatRows="0"/>
  <protectedRanges>
    <protectedRange sqref="A2:G249" name="Range1"/>
    <protectedRange sqref="A335:E339 G334:G340 A340:F340 A319:G333 A341:G341" name="Range1_1"/>
    <protectedRange sqref="A334:F334 F335:F339" name="Range1_1_1"/>
  </protectedRanges>
  <phoneticPr fontId="3" type="noConversion"/>
  <dataValidations count="1">
    <dataValidation type="list" allowBlank="1" showDropDown="1" showInputMessage="1" showErrorMessage="1" sqref="A1:G1" xr:uid="{40C603C2-A1D1-453D-8620-A645834B8E9F}">
      <formula1>"wago1"</formula1>
    </dataValidation>
  </dataValidations>
  <pageMargins left="0.7" right="0.7" top="0.75" bottom="0.75" header="0.3" footer="0.3"/>
  <pageSetup paperSize="256" orientation="portrait" horizontalDpi="300" verticalDpi="300" r:id="rId1"/>
  <headerFooter>
    <oddFooter>&amp;C&amp;1#&amp;"Calibri"&amp;10&amp;K000000Internal</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D6CFE-B934-4DC2-86C4-B3532C8109C2}">
  <sheetPr codeName="Sheet5"/>
  <dimension ref="B2:F2"/>
  <sheetViews>
    <sheetView workbookViewId="0">
      <selection activeCell="K43" sqref="K43"/>
    </sheetView>
  </sheetViews>
  <sheetFormatPr defaultRowHeight="14.4" x14ac:dyDescent="0.3"/>
  <sheetData>
    <row r="2" spans="2:6" x14ac:dyDescent="0.3">
      <c r="B2" t="s">
        <v>9</v>
      </c>
      <c r="F2" t="s">
        <v>8</v>
      </c>
    </row>
  </sheetData>
  <pageMargins left="0.7" right="0.7" top="0.75" bottom="0.75" header="0.3" footer="0.3"/>
  <pageSetup orientation="portrait" horizontalDpi="4294967293" verticalDpi="0" r:id="rId1"/>
  <headerFooter>
    <oddFooter>&amp;C&amp;1#&amp;"Calibri"&amp;10&amp;K000000Internal</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WORKSHEET - Call Report</vt:lpstr>
      <vt:lpstr>Sheet4</vt:lpstr>
      <vt:lpstr>Database - Contacts</vt:lpstr>
      <vt:lpstr>Database - Contacts old</vt:lpstr>
      <vt:lpstr>Sheet1</vt:lpstr>
      <vt:lpstr>Sheet2</vt:lpstr>
      <vt:lpstr>HISTORY - Activity Report</vt:lpstr>
      <vt:lpstr>password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Page, Caleb</dc:creator>
  <cp:lastModifiedBy>Page, Caleb</cp:lastModifiedBy>
  <cp:lastPrinted>2024-03-10T22:13:19Z</cp:lastPrinted>
  <dcterms:created xsi:type="dcterms:W3CDTF">2015-06-05T18:17:20Z</dcterms:created>
  <dcterms:modified xsi:type="dcterms:W3CDTF">2025-08-08T07:49:51Z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6b160f33-c33b-4e10-8636-cf83f9ca7d3c_Enabled">
    <vt:lpwstr>true</vt:lpwstr>
  </property>
  <property fmtid="{D5CDD505-2E9C-101B-9397-08002B2CF9AE}" pid="3" name="MSIP_Label_6b160f33-c33b-4e10-8636-cf83f9ca7d3c_SetDate">
    <vt:lpwstr>2023-05-24T00:35:06Z</vt:lpwstr>
  </property>
  <property fmtid="{D5CDD505-2E9C-101B-9397-08002B2CF9AE}" pid="4" name="MSIP_Label_6b160f33-c33b-4e10-8636-cf83f9ca7d3c_Method">
    <vt:lpwstr>Standard</vt:lpwstr>
  </property>
  <property fmtid="{D5CDD505-2E9C-101B-9397-08002B2CF9AE}" pid="5" name="MSIP_Label_6b160f33-c33b-4e10-8636-cf83f9ca7d3c_Name">
    <vt:lpwstr>Internal</vt:lpwstr>
  </property>
  <property fmtid="{D5CDD505-2E9C-101B-9397-08002B2CF9AE}" pid="6" name="MSIP_Label_6b160f33-c33b-4e10-8636-cf83f9ca7d3c_SiteId">
    <vt:lpwstr>e211c965-dd84-4c9f-bc3f-4215552a0857</vt:lpwstr>
  </property>
  <property fmtid="{D5CDD505-2E9C-101B-9397-08002B2CF9AE}" pid="7" name="MSIP_Label_6b160f33-c33b-4e10-8636-cf83f9ca7d3c_ActionId">
    <vt:lpwstr>1b02629d-d81c-4512-b201-71a8c3e96100</vt:lpwstr>
  </property>
  <property fmtid="{D5CDD505-2E9C-101B-9397-08002B2CF9AE}" pid="8" name="MSIP_Label_6b160f33-c33b-4e10-8636-cf83f9ca7d3c_ContentBits">
    <vt:lpwstr>2</vt:lpwstr>
  </property>
</Properties>
</file>